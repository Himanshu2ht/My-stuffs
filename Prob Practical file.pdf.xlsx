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imanshu\"/>
    </mc:Choice>
  </mc:AlternateContent>
  <xr:revisionPtr revIDLastSave="0" documentId="13_ncr:1_{E66B7FDC-2571-407C-9881-F26DA4BEC627}" xr6:coauthVersionLast="47" xr6:coauthVersionMax="47" xr10:uidLastSave="{00000000-0000-0000-0000-000000000000}"/>
  <bookViews>
    <workbookView xWindow="-108" yWindow="-108" windowWidth="23256" windowHeight="12456" activeTab="10" xr2:uid="{72FBB8AD-A67B-4701-8D98-CBFAAA5E4ABF}"/>
  </bookViews>
  <sheets>
    <sheet name="1(1)" sheetId="1" r:id="rId1"/>
    <sheet name="1(2)" sheetId="2" r:id="rId2"/>
    <sheet name="1(3)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13" sheetId="10" r:id="rId10"/>
    <sheet name="Sheet11" sheetId="11" r:id="rId11"/>
    <sheet name="16" sheetId="14" r:id="rId12"/>
    <sheet name="Sheet15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4" l="1"/>
  <c r="A3" i="14"/>
  <c r="A4" i="14"/>
  <c r="A5" i="14"/>
  <c r="A6" i="14"/>
  <c r="A7" i="14"/>
  <c r="A8" i="14"/>
  <c r="A9" i="14"/>
  <c r="A10" i="14"/>
  <c r="A1" i="14"/>
  <c r="C2" i="11"/>
  <c r="C3" i="11"/>
  <c r="C4" i="11"/>
  <c r="C5" i="11"/>
  <c r="C6" i="11"/>
  <c r="C7" i="11"/>
  <c r="C8" i="11"/>
  <c r="C9" i="11"/>
  <c r="C10" i="11"/>
  <c r="C11" i="11"/>
  <c r="A3" i="11"/>
  <c r="A4" i="11"/>
  <c r="A5" i="11"/>
  <c r="A6" i="11"/>
  <c r="A7" i="11"/>
  <c r="A8" i="11"/>
  <c r="A9" i="11"/>
  <c r="A10" i="11"/>
  <c r="A11" i="11"/>
  <c r="A2" i="11"/>
  <c r="E4" i="10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2" i="9"/>
  <c r="A51" i="9"/>
  <c r="A52" i="9" s="1"/>
  <c r="A4" i="9"/>
  <c r="A5" i="9"/>
  <c r="A6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3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2" i="8"/>
  <c r="A24" i="8"/>
  <c r="A25" i="8"/>
  <c r="A26" i="8"/>
  <c r="A27" i="8"/>
  <c r="A28" i="8" s="1"/>
  <c r="A29" i="8" s="1"/>
  <c r="A30" i="8" s="1"/>
  <c r="A31" i="8" s="1"/>
  <c r="A32" i="8" s="1"/>
  <c r="A4" i="8"/>
  <c r="A5" i="8"/>
  <c r="A6" i="8"/>
  <c r="A7" i="8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3" i="8"/>
  <c r="B3" i="6"/>
  <c r="B4" i="6"/>
  <c r="B5" i="6"/>
  <c r="B6" i="6"/>
  <c r="B7" i="6"/>
  <c r="B8" i="6"/>
  <c r="B9" i="6"/>
  <c r="B10" i="6"/>
  <c r="B11" i="6"/>
  <c r="B12" i="6"/>
  <c r="B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  <c r="B3" i="3"/>
  <c r="B4" i="3"/>
  <c r="B5" i="3"/>
  <c r="B6" i="3"/>
  <c r="B7" i="3"/>
  <c r="B8" i="3"/>
  <c r="B9" i="3"/>
  <c r="B10" i="3"/>
  <c r="B11" i="3"/>
  <c r="B12" i="3"/>
  <c r="B2" i="3"/>
  <c r="A3" i="3"/>
  <c r="A4" i="3" s="1"/>
  <c r="A5" i="3" s="1"/>
  <c r="A6" i="3" s="1"/>
  <c r="A7" i="3" s="1"/>
  <c r="A8" i="3" s="1"/>
  <c r="A9" i="3" s="1"/>
  <c r="A10" i="3" s="1"/>
  <c r="A11" i="3" s="1"/>
  <c r="A12" i="3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A17" i="2"/>
  <c r="A4" i="2"/>
  <c r="A5" i="2"/>
  <c r="A6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3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<sst xmlns="http://schemas.openxmlformats.org/spreadsheetml/2006/main" count="60" uniqueCount="55">
  <si>
    <t>Number of Defective Bulbs (k)</t>
  </si>
  <si>
    <t>Probability P(X=k)</t>
  </si>
  <si>
    <t>Number of Sales (k)</t>
  </si>
  <si>
    <t>Number of Patients Cured (k)</t>
  </si>
  <si>
    <t>x_Red</t>
  </si>
  <si>
    <t>x_Blue</t>
  </si>
  <si>
    <t>x_Green</t>
  </si>
  <si>
    <t>Combination Label</t>
  </si>
  <si>
    <t>Probability P(x_R, x_B, x_G)</t>
  </si>
  <si>
    <t>R=5, B=0, G=0</t>
  </si>
  <si>
    <t>R=4, B=1, G=0</t>
  </si>
  <si>
    <t>R=4, B=0, G=1</t>
  </si>
  <si>
    <t>R=3, B=2, G=0</t>
  </si>
  <si>
    <t>R=3, B=1, G=1</t>
  </si>
  <si>
    <t>R=3, B=0, G=2</t>
  </si>
  <si>
    <t>R=2, B=3, G=0</t>
  </si>
  <si>
    <t>R=2, B=2, G=1</t>
  </si>
  <si>
    <t>R=2, B=1, G=2</t>
  </si>
  <si>
    <t>R=2, B=0, G=3</t>
  </si>
  <si>
    <t>R=1, B=4, G=0</t>
  </si>
  <si>
    <t>R=1, B=3, G=1</t>
  </si>
  <si>
    <t>R=1, B=2, G=2</t>
  </si>
  <si>
    <t>R=1, B=1, G=3</t>
  </si>
  <si>
    <t>R=1, B=0, G=4</t>
  </si>
  <si>
    <t>R=0, B=5, G=0</t>
  </si>
  <si>
    <t>R=0, B=4, G=1</t>
  </si>
  <si>
    <t>R=0, B=3, G=2</t>
  </si>
  <si>
    <t>R=0, B=2, G=3</t>
  </si>
  <si>
    <t>R=0, B=1, G=4</t>
  </si>
  <si>
    <t>R=0, B=0, G=5</t>
  </si>
  <si>
    <t>Number of Calls (k)</t>
  </si>
  <si>
    <t>Number of Misses before 1st Success (k)</t>
  </si>
  <si>
    <t>Probability P(Y=k)</t>
  </si>
  <si>
    <t>1st trial</t>
  </si>
  <si>
    <t>2nd trial</t>
  </si>
  <si>
    <t>3rd trial</t>
  </si>
  <si>
    <t>4th trial</t>
  </si>
  <si>
    <t>5th trial</t>
  </si>
  <si>
    <t>6th trial</t>
  </si>
  <si>
    <t>7th trial</t>
  </si>
  <si>
    <t>8th trial</t>
  </si>
  <si>
    <t>9th trial</t>
  </si>
  <si>
    <t>10th trial</t>
  </si>
  <si>
    <t>11th trial</t>
  </si>
  <si>
    <t>Interpretation
(First success on trial #)</t>
  </si>
  <si>
    <t>Die Roll Outcome (k)</t>
  </si>
  <si>
    <t>Time Between Arrivals (x minutes)</t>
  </si>
  <si>
    <t>Probability Density f(x)</t>
  </si>
  <si>
    <t>Height (x cm)</t>
  </si>
  <si>
    <t>Student</t>
  </si>
  <si>
    <t>Study Hours (X)</t>
  </si>
  <si>
    <t>Exam Score (Y)</t>
  </si>
  <si>
    <t>Sample Covarience</t>
  </si>
  <si>
    <t>Generating Random
Numbers from a
Continuous Uniform
Distribution</t>
  </si>
  <si>
    <t>Generating Random
Numbers from a
Normal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</si>
</sst>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0" fillId="0" borderId="1" xfId="0" applyBorder="1"/>
    <xf numFmtId="0" fontId="1" fillId="0" borderId="0" xfId="0" applyFont="1" applyAlignment="1">
      <alignment horizontal="right" wrapText="1"/>
    </xf>
    <xf numFmtId="0" fontId="0" fillId="0" borderId="2" xfId="0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right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cap="all" normalizeH="0" baseline="0"/>
              <a:t>Probability of Finding k Defective Bulbs in a Batch of 20 (p=0.05)</a:t>
            </a:r>
            <a:endParaRPr lang="en-IN" sz="1050"/>
          </a:p>
        </c:rich>
      </c:tx>
      <c:layout>
        <c:manualLayout>
          <c:xMode val="edge"/>
          <c:yMode val="edge"/>
          <c:x val="0.1528401137357830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'1(1)'!$A$2:$A$22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'1(1)'!$B$2:$B$22</c:f>
              <c:numCache>
                <c:formatCode>General</c:formatCode>
                <c:ptCount val="21"/>
                <c:pt idx="0">
                  <c:v>0.35848592240854221</c:v>
                </c:pt>
                <c:pt idx="1">
                  <c:v>0.37735360253530759</c:v>
                </c:pt>
                <c:pt idx="2">
                  <c:v>0.18867680126765382</c:v>
                </c:pt>
                <c:pt idx="3">
                  <c:v>5.958214776873276E-2</c:v>
                </c:pt>
                <c:pt idx="4">
                  <c:v>1.3327585685111285E-2</c:v>
                </c:pt>
                <c:pt idx="5">
                  <c:v>2.2446460101240048E-3</c:v>
                </c:pt>
                <c:pt idx="6">
                  <c:v>2.9534815922684256E-4</c:v>
                </c:pt>
                <c:pt idx="7">
                  <c:v>3.1089279918615041E-5</c:v>
                </c:pt>
                <c:pt idx="8">
                  <c:v>2.6589515719868189E-6</c:v>
                </c:pt>
                <c:pt idx="9">
                  <c:v>1.8659309277100406E-7</c:v>
                </c:pt>
                <c:pt idx="10">
                  <c:v>1.0802758002531793E-8</c:v>
                </c:pt>
                <c:pt idx="11">
                  <c:v>5.1687837332688315E-10</c:v>
                </c:pt>
                <c:pt idx="12">
                  <c:v>2.0403093683955783E-11</c:v>
                </c:pt>
                <c:pt idx="13">
                  <c:v>6.6082894522934075E-13</c:v>
                </c:pt>
                <c:pt idx="14">
                  <c:v>1.7390235400772204E-14</c:v>
                </c:pt>
                <c:pt idx="15">
                  <c:v>3.661102189636231E-16</c:v>
                </c:pt>
                <c:pt idx="16">
                  <c:v>6.0215496540069876E-18</c:v>
                </c:pt>
                <c:pt idx="17">
                  <c:v>7.4570274353026734E-20</c:v>
                </c:pt>
                <c:pt idx="18">
                  <c:v>6.5412521362304515E-22</c:v>
                </c:pt>
                <c:pt idx="19">
                  <c:v>3.6239624023437785E-24</c:v>
                </c:pt>
                <c:pt idx="20">
                  <c:v>9.536743164062544E-27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5-4F32-8E88-0E4EE99209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7163040"/>
        <c:axId val="487166400"/>
      </c:barChart>
      <c:catAx>
        <c:axId val="48716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66400"/>
        <c:crosses val="autoZero"/>
        <c:auto val="1"/>
        <c:lblAlgn val="ctr"/>
        <c:lblOffset val="100"/>
        <c:noMultiLvlLbl val="0"/>
      </c:catAx>
      <c:valAx>
        <c:axId val="487166400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871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cap="all" normalizeH="0" baseline="0"/>
              <a:t>Probability of Making k Sales in 15 Calls (p=0.10)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'1(2)'!$A$2:$A$17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'1(2)'!$B$2:$B$17</c:f>
              <c:numCache>
                <c:formatCode>General</c:formatCode>
                <c:ptCount val="16"/>
                <c:pt idx="0">
                  <c:v>0.343151886824415</c:v>
                </c:pt>
                <c:pt idx="1">
                  <c:v>0.26689591197454504</c:v>
                </c:pt>
                <c:pt idx="2">
                  <c:v>0.12850543909885501</c:v>
                </c:pt>
                <c:pt idx="3">
                  <c:v>4.2835146366285E-2</c:v>
                </c:pt>
                <c:pt idx="4">
                  <c:v>1.0470813556202989E-2</c:v>
                </c:pt>
                <c:pt idx="5">
                  <c:v>1.939039547445001E-3</c:v>
                </c:pt>
                <c:pt idx="6">
                  <c:v>2.7700564963500002E-4</c:v>
                </c:pt>
                <c:pt idx="7">
                  <c:v>3.0778405515000034E-5</c:v>
                </c:pt>
                <c:pt idx="8">
                  <c:v>2.6598622049999972E-6</c:v>
                </c:pt>
                <c:pt idx="9">
                  <c:v>1.773241469999999E-7</c:v>
                </c:pt>
                <c:pt idx="10">
                  <c:v>8.9557650000000203E-9</c:v>
                </c:pt>
                <c:pt idx="11">
                  <c:v>3.3169500000000198E-10</c:v>
                </c:pt>
                <c:pt idx="12">
                  <c:v>8.5050000000000248E-12</c:v>
                </c:pt>
                <c:pt idx="13">
                  <c:v>1.3500000000000046E-13</c:v>
                </c:pt>
                <c:pt idx="14">
                  <c:v>1.0000000000000013E-15</c:v>
                </c:pt>
                <c:pt idx="15">
                  <c:v>0.20589113209464899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FA5-8A30-41708D86F4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7128480"/>
        <c:axId val="487127040"/>
      </c:barChart>
      <c:catAx>
        <c:axId val="48712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cap="all" baseline="0"/>
                  <a:t>Number of Sales (k)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27040"/>
        <c:crosses val="autoZero"/>
        <c:auto val="1"/>
        <c:lblAlgn val="ctr"/>
        <c:lblOffset val="100"/>
        <c:noMultiLvlLbl val="0"/>
      </c:catAx>
      <c:valAx>
        <c:axId val="48712704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cap="all" baseline="0"/>
                  <a:t>Probability P(X=k)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48712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cap="all" normalizeH="0" baseline="0"/>
              <a:t>Probability of k Patients Cured out of 10 (p=0.70)</a:t>
            </a:r>
            <a:endParaRPr lang="en-IN" sz="1000"/>
          </a:p>
        </c:rich>
      </c:tx>
      <c:layout>
        <c:manualLayout>
          <c:xMode val="edge"/>
          <c:yMode val="edge"/>
          <c:x val="0.2326041119860017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9958442694663169E-2"/>
          <c:y val="0.28430555555555553"/>
          <c:w val="0.90004155730533686"/>
          <c:h val="0.603070501603966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'1(3)'!$A$2:$A$12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'1(3)'!$B$2:$B$12</c:f>
              <c:numCache>
                <c:formatCode>General</c:formatCode>
                <c:ptCount val="11"/>
                <c:pt idx="0">
                  <c:v>1.3778100000000015E-4</c:v>
                </c:pt>
                <c:pt idx="1">
                  <c:v>1.4467005000000047E-3</c:v>
                </c:pt>
                <c:pt idx="2">
                  <c:v>9.0016920000000108E-3</c:v>
                </c:pt>
                <c:pt idx="3">
                  <c:v>3.6756909000000053E-2</c:v>
                </c:pt>
                <c:pt idx="4">
                  <c:v>0.10291934520000004</c:v>
                </c:pt>
                <c:pt idx="5">
                  <c:v>0.20012094900000008</c:v>
                </c:pt>
                <c:pt idx="6">
                  <c:v>0.26682793200000005</c:v>
                </c:pt>
                <c:pt idx="7">
                  <c:v>0.23347444050000005</c:v>
                </c:pt>
                <c:pt idx="8">
                  <c:v>0.121060821</c:v>
                </c:pt>
                <c:pt idx="9">
                  <c:v>2.824752489999998E-2</c:v>
                </c:pt>
                <c:pt idx="10">
                  <c:v>5.9049000000000059E-6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C-47DA-AD8F-0937444D58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6209248"/>
        <c:axId val="66199648"/>
      </c:barChart>
      <c:catAx>
        <c:axId val="6620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cap="all" baseline="0"/>
                  <a:t>Number of Patients Cured (k)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9648"/>
        <c:crosses val="autoZero"/>
        <c:auto val="1"/>
        <c:lblAlgn val="ctr"/>
        <c:lblOffset val="100"/>
        <c:noMultiLvlLbl val="0"/>
      </c:catAx>
      <c:valAx>
        <c:axId val="6619964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cap="all" baseline="0"/>
                  <a:t>Probability P(X=k)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662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'2'!$D$2:$D$22</c:f>
              <c:strCache>
                <c:ptCount val="21"/>
                <c:pt idx="0">
                  <c:v>R=5, B=0, G=0</c:v>
                </c:pt>
                <c:pt idx="1">
                  <c:v>R=4, B=1, G=0</c:v>
                </c:pt>
                <c:pt idx="2">
                  <c:v>R=4, B=0, G=1</c:v>
                </c:pt>
                <c:pt idx="3">
                  <c:v>R=3, B=2, G=0</c:v>
                </c:pt>
                <c:pt idx="4">
                  <c:v>R=3, B=1, G=1</c:v>
                </c:pt>
                <c:pt idx="5">
                  <c:v>R=3, B=0, G=2</c:v>
                </c:pt>
                <c:pt idx="6">
                  <c:v>R=2, B=3, G=0</c:v>
                </c:pt>
                <c:pt idx="7">
                  <c:v>R=2, B=2, G=1</c:v>
                </c:pt>
                <c:pt idx="8">
                  <c:v>R=2, B=1, G=2</c:v>
                </c:pt>
                <c:pt idx="9">
                  <c:v>R=2, B=0, G=3</c:v>
                </c:pt>
                <c:pt idx="10">
                  <c:v>R=1, B=4, G=0</c:v>
                </c:pt>
                <c:pt idx="11">
                  <c:v>R=1, B=3, G=1</c:v>
                </c:pt>
                <c:pt idx="12">
                  <c:v>R=1, B=2, G=2</c:v>
                </c:pt>
                <c:pt idx="13">
                  <c:v>R=1, B=1, G=3</c:v>
                </c:pt>
                <c:pt idx="14">
                  <c:v>R=1, B=0, G=4</c:v>
                </c:pt>
                <c:pt idx="15">
                  <c:v>R=0, B=5, G=0</c:v>
                </c:pt>
                <c:pt idx="16">
                  <c:v>R=0, B=4, G=1</c:v>
                </c:pt>
                <c:pt idx="17">
                  <c:v>R=0, B=3, G=2</c:v>
                </c:pt>
                <c:pt idx="18">
                  <c:v>R=0, B=2, G=3</c:v>
                </c:pt>
                <c:pt idx="19">
                  <c:v>R=0, B=1, G=4</c:v>
                </c:pt>
                <c:pt idx="20">
                  <c:v>R=0, B=0, G=5</c:v>
                </c:pt>
              </c:strCache>
            </c:strRef>
          </c:cat>
          <c:val>
            <c:numRef>
              <c:f>'2'!$E$2:$E$22</c:f>
              <c:numCache>
                <c:formatCode>General</c:formatCode>
                <c:ptCount val="21"/>
                <c:pt idx="0">
                  <c:v>3.125E-2</c:v>
                </c:pt>
                <c:pt idx="1">
                  <c:v>9.375E-2</c:v>
                </c:pt>
                <c:pt idx="2">
                  <c:v>6.25E-2</c:v>
                </c:pt>
                <c:pt idx="3">
                  <c:v>0.09</c:v>
                </c:pt>
                <c:pt idx="4">
                  <c:v>0.12</c:v>
                </c:pt>
                <c:pt idx="5">
                  <c:v>0.04</c:v>
                </c:pt>
                <c:pt idx="6">
                  <c:v>6.7500000000000004E-2</c:v>
                </c:pt>
                <c:pt idx="7">
                  <c:v>0.13500000000000001</c:v>
                </c:pt>
                <c:pt idx="8">
                  <c:v>0.09</c:v>
                </c:pt>
                <c:pt idx="9">
                  <c:v>0.02</c:v>
                </c:pt>
                <c:pt idx="10">
                  <c:v>4.0500000000000001E-2</c:v>
                </c:pt>
                <c:pt idx="11">
                  <c:v>8.1000000000000003E-2</c:v>
                </c:pt>
                <c:pt idx="12">
                  <c:v>8.1000000000000003E-2</c:v>
                </c:pt>
                <c:pt idx="13">
                  <c:v>3.5999999999999997E-2</c:v>
                </c:pt>
                <c:pt idx="14">
                  <c:v>8.0000000000000002E-3</c:v>
                </c:pt>
                <c:pt idx="15">
                  <c:v>2.4299999999999999E-3</c:v>
                </c:pt>
                <c:pt idx="16">
                  <c:v>8.0999999999999996E-3</c:v>
                </c:pt>
                <c:pt idx="17">
                  <c:v>1.6199999999999999E-2</c:v>
                </c:pt>
                <c:pt idx="18">
                  <c:v>1.44E-2</c:v>
                </c:pt>
                <c:pt idx="19">
                  <c:v>6.4000000000000003E-3</c:v>
                </c:pt>
                <c:pt idx="20">
                  <c:v>3.2000000000000003E-4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5-4ACB-9AB7-3F411B5A2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697391"/>
        <c:axId val="1760710351"/>
      </c:barChart>
      <c:catAx>
        <c:axId val="17606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10351"/>
        <c:crosses val="autoZero"/>
        <c:auto val="1"/>
        <c:lblAlgn val="ctr"/>
        <c:lblOffset val="100"/>
        <c:noMultiLvlLbl val="0"/>
      </c:catAx>
      <c:valAx>
        <c:axId val="176071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9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Poisson Probability: Call Center Arrivals per Hour (</a:t>
            </a:r>
            <a:r>
              <a:rPr lang="el-GR" sz="1400" b="0" i="0" u="none" strike="noStrike" baseline="0"/>
              <a:t>λ=5)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'3'!$A$2:$A$17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'3'!$B$2:$B$17</c:f>
              <c:numCache>
                <c:formatCode>General</c:formatCode>
                <c:ptCount val="16"/>
                <c:pt idx="0">
                  <c:v>6.737946999085467E-3</c:v>
                </c:pt>
                <c:pt idx="1">
                  <c:v>3.368973499542733E-2</c:v>
                </c:pt>
                <c:pt idx="2">
                  <c:v>8.4224337488568335E-2</c:v>
                </c:pt>
                <c:pt idx="3">
                  <c:v>0.14037389581428059</c:v>
                </c:pt>
                <c:pt idx="4">
                  <c:v>0.17546736976785074</c:v>
                </c:pt>
                <c:pt idx="5">
                  <c:v>0.17546736976785071</c:v>
                </c:pt>
                <c:pt idx="6">
                  <c:v>0.14622280813987559</c:v>
                </c:pt>
                <c:pt idx="7">
                  <c:v>0.104444862957054</c:v>
                </c:pt>
                <c:pt idx="8">
                  <c:v>6.5278039348158706E-2</c:v>
                </c:pt>
                <c:pt idx="9">
                  <c:v>3.6265577415643749E-2</c:v>
                </c:pt>
                <c:pt idx="10">
                  <c:v>1.8132788707821874E-2</c:v>
                </c:pt>
                <c:pt idx="11">
                  <c:v>8.2421766853735742E-3</c:v>
                </c:pt>
                <c:pt idx="12">
                  <c:v>3.4342402855723282E-3</c:v>
                </c:pt>
                <c:pt idx="13">
                  <c:v>1.3208616482970471E-3</c:v>
                </c:pt>
                <c:pt idx="14">
                  <c:v>4.7173630296323246E-4</c:v>
                </c:pt>
                <c:pt idx="15">
                  <c:v>1.5724543432107704E-4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527-9406-93A60F0AA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267055"/>
        <c:axId val="1833267535"/>
      </c:barChart>
      <c:catAx>
        <c:axId val="183326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Calls Received (k)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67535"/>
        <c:crosses val="autoZero"/>
        <c:auto val="1"/>
        <c:lblAlgn val="ctr"/>
        <c:lblOffset val="100"/>
        <c:noMultiLvlLbl val="0"/>
      </c:catAx>
      <c:valAx>
        <c:axId val="183326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Probability P(X=k)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6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'4'!$A$2:$A$12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'4'!$B$2:$B$12</c:f>
              <c:numCache>
                <c:formatCode>General</c:formatCode>
                <c:ptCount val="11"/>
                <c:pt idx="0">
                  <c:v>0.7</c:v>
                </c:pt>
                <c:pt idx="1">
                  <c:v>0.21000000000000002</c:v>
                </c:pt>
                <c:pt idx="2">
                  <c:v>6.3000000000000014E-2</c:v>
                </c:pt>
                <c:pt idx="3">
                  <c:v>1.8900000000000004E-2</c:v>
                </c:pt>
                <c:pt idx="4">
                  <c:v>5.6700000000000014E-3</c:v>
                </c:pt>
                <c:pt idx="5">
                  <c:v>1.7010000000000005E-3</c:v>
                </c:pt>
                <c:pt idx="6">
                  <c:v>5.1030000000000021E-4</c:v>
                </c:pt>
                <c:pt idx="7">
                  <c:v>1.5309000000000004E-4</c:v>
                </c:pt>
                <c:pt idx="8">
                  <c:v>4.5927000000000043E-5</c:v>
                </c:pt>
                <c:pt idx="9">
                  <c:v>1.3778100000000013E-5</c:v>
                </c:pt>
                <c:pt idx="10">
                  <c:v>4.1334300000000047E-6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B-4B67-A0D0-819D7A025E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80311759"/>
        <c:axId val="1680319919"/>
      </c:barChart>
      <c:catAx>
        <c:axId val="168031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19919"/>
        <c:crosses val="autoZero"/>
        <c:auto val="1"/>
        <c:lblAlgn val="ctr"/>
        <c:lblOffset val="100"/>
        <c:noMultiLvlLbl val="0"/>
      </c:catAx>
      <c:valAx>
        <c:axId val="1680319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8031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'5'!$B$2:$B$7</c:f>
              <c:numCache>
                <c:formatCode>General</c:formatCode>
                <c:ptCount val="6"/>
                <c:pt idx="0">
                  <c:v>0.16666666669999999</c:v>
                </c:pt>
                <c:pt idx="1">
                  <c:v>0.16666666669999999</c:v>
                </c:pt>
                <c:pt idx="2">
                  <c:v>0.16666666669999999</c:v>
                </c:pt>
                <c:pt idx="3">
                  <c:v>0.16666666669999999</c:v>
                </c:pt>
                <c:pt idx="4">
                  <c:v>0.16666666669999999</c:v>
                </c:pt>
                <c:pt idx="5">
                  <c:v>0.16666666669999999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E-4893-87BE-B88E820EA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330959"/>
        <c:axId val="1680331439"/>
      </c:barChart>
      <c:catAx>
        <c:axId val="168033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31439"/>
        <c:crosses val="autoZero"/>
        <c:auto val="1"/>
        <c:lblAlgn val="ctr"/>
        <c:lblOffset val="100"/>
        <c:noMultiLvlLbl val="0"/>
      </c:catAx>
      <c:valAx>
        <c:axId val="16803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3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'6'!$A$2:$A$32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cat>
          <c:val>
            <c:numRef>
              <c:f>'6'!$B$2:$B$32</c:f>
              <c:numCache>
                <c:formatCode>General</c:formatCode>
                <c:ptCount val="31"/>
                <c:pt idx="0">
                  <c:v>0.5</c:v>
                </c:pt>
                <c:pt idx="1">
                  <c:v>0.38940039153570244</c:v>
                </c:pt>
                <c:pt idx="2">
                  <c:v>0.30326532985631671</c:v>
                </c:pt>
                <c:pt idx="3">
                  <c:v>0.23618327637050734</c:v>
                </c:pt>
                <c:pt idx="4">
                  <c:v>0.18393972058572117</c:v>
                </c:pt>
                <c:pt idx="5">
                  <c:v>0.14325239843009505</c:v>
                </c:pt>
                <c:pt idx="6">
                  <c:v>0.11156508007421491</c:v>
                </c:pt>
                <c:pt idx="7">
                  <c:v>8.688697172522257E-2</c:v>
                </c:pt>
                <c:pt idx="8">
                  <c:v>6.7667641618306351E-2</c:v>
                </c:pt>
                <c:pt idx="9">
                  <c:v>5.2699612280932166E-2</c:v>
                </c:pt>
                <c:pt idx="10">
                  <c:v>4.10424993119494E-2</c:v>
                </c:pt>
                <c:pt idx="11">
                  <c:v>3.1963930603353785E-2</c:v>
                </c:pt>
                <c:pt idx="12">
                  <c:v>2.4893534183931972E-2</c:v>
                </c:pt>
                <c:pt idx="13">
                  <c:v>1.9387103915861004E-2</c:v>
                </c:pt>
                <c:pt idx="14">
                  <c:v>1.509869171115925E-2</c:v>
                </c:pt>
                <c:pt idx="15">
                  <c:v>1.1758872928004553E-2</c:v>
                </c:pt>
                <c:pt idx="16">
                  <c:v>9.1578194443670893E-3</c:v>
                </c:pt>
                <c:pt idx="17">
                  <c:v>7.1321169544996278E-3</c:v>
                </c:pt>
                <c:pt idx="18">
                  <c:v>5.554498269121153E-3</c:v>
                </c:pt>
                <c:pt idx="19">
                  <c:v>4.325847601560317E-3</c:v>
                </c:pt>
                <c:pt idx="20">
                  <c:v>3.3689734995427335E-3</c:v>
                </c:pt>
                <c:pt idx="21">
                  <c:v>2.6237591995906923E-3</c:v>
                </c:pt>
                <c:pt idx="22">
                  <c:v>2.0433857192320333E-3</c:v>
                </c:pt>
                <c:pt idx="23">
                  <c:v>1.5913903982548334E-3</c:v>
                </c:pt>
                <c:pt idx="24">
                  <c:v>1.2393760883331792E-3</c:v>
                </c:pt>
                <c:pt idx="25">
                  <c:v>9.6522706811385465E-4</c:v>
                </c:pt>
                <c:pt idx="26">
                  <c:v>7.5171959648878618E-4</c:v>
                </c:pt>
                <c:pt idx="27">
                  <c:v>5.8543981039558721E-4</c:v>
                </c:pt>
                <c:pt idx="28">
                  <c:v>4.5594098277725812E-4</c:v>
                </c:pt>
                <c:pt idx="29">
                  <c:v>3.5508719442127451E-4</c:v>
                </c:pt>
                <c:pt idx="30">
                  <c:v>2.7654218507391681E-4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F-4D15-9D9D-42A3EA37E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374159"/>
        <c:axId val="1680372719"/>
      </c:lineChart>
      <c:catAx>
        <c:axId val="16803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72719"/>
        <c:crosses val="autoZero"/>
        <c:auto val="1"/>
        <c:lblAlgn val="ctr"/>
        <c:lblOffset val="100"/>
        <c:noMultiLvlLbl val="0"/>
      </c:catAx>
      <c:valAx>
        <c:axId val="16803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7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'7'!$A$2:$A$52</c:f>
              <c:numCache>
                <c:formatCode>General</c:formatCode>
                <c:ptCount val="51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153</c:v>
                </c:pt>
                <c:pt idx="4">
                  <c:v>154</c:v>
                </c:pt>
                <c:pt idx="5">
                  <c:v>155</c:v>
                </c:pt>
                <c:pt idx="6">
                  <c:v>156</c:v>
                </c:pt>
                <c:pt idx="7">
                  <c:v>157</c:v>
                </c:pt>
                <c:pt idx="8">
                  <c:v>158</c:v>
                </c:pt>
                <c:pt idx="9">
                  <c:v>159</c:v>
                </c:pt>
                <c:pt idx="10">
                  <c:v>160</c:v>
                </c:pt>
                <c:pt idx="11">
                  <c:v>161</c:v>
                </c:pt>
                <c:pt idx="12">
                  <c:v>162</c:v>
                </c:pt>
                <c:pt idx="13">
                  <c:v>163</c:v>
                </c:pt>
                <c:pt idx="14">
                  <c:v>164</c:v>
                </c:pt>
                <c:pt idx="15">
                  <c:v>165</c:v>
                </c:pt>
                <c:pt idx="16">
                  <c:v>166</c:v>
                </c:pt>
                <c:pt idx="17">
                  <c:v>167</c:v>
                </c:pt>
                <c:pt idx="18">
                  <c:v>168</c:v>
                </c:pt>
                <c:pt idx="19">
                  <c:v>169</c:v>
                </c:pt>
                <c:pt idx="20">
                  <c:v>170</c:v>
                </c:pt>
                <c:pt idx="21">
                  <c:v>171</c:v>
                </c:pt>
                <c:pt idx="22">
                  <c:v>172</c:v>
                </c:pt>
                <c:pt idx="23">
                  <c:v>173</c:v>
                </c:pt>
                <c:pt idx="24">
                  <c:v>174</c:v>
                </c:pt>
                <c:pt idx="25">
                  <c:v>175</c:v>
                </c:pt>
                <c:pt idx="26">
                  <c:v>176</c:v>
                </c:pt>
                <c:pt idx="27">
                  <c:v>177</c:v>
                </c:pt>
                <c:pt idx="28">
                  <c:v>178</c:v>
                </c:pt>
                <c:pt idx="29">
                  <c:v>179</c:v>
                </c:pt>
                <c:pt idx="30">
                  <c:v>180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184</c:v>
                </c:pt>
                <c:pt idx="35">
                  <c:v>185</c:v>
                </c:pt>
                <c:pt idx="36">
                  <c:v>186</c:v>
                </c:pt>
                <c:pt idx="37">
                  <c:v>187</c:v>
                </c:pt>
                <c:pt idx="38">
                  <c:v>188</c:v>
                </c:pt>
                <c:pt idx="39">
                  <c:v>189</c:v>
                </c:pt>
                <c:pt idx="40">
                  <c:v>190</c:v>
                </c:pt>
                <c:pt idx="41">
                  <c:v>191</c:v>
                </c:pt>
                <c:pt idx="42">
                  <c:v>192</c:v>
                </c:pt>
                <c:pt idx="43">
                  <c:v>193</c:v>
                </c:pt>
                <c:pt idx="44">
                  <c:v>194</c:v>
                </c:pt>
                <c:pt idx="45">
                  <c:v>195</c:v>
                </c:pt>
                <c:pt idx="46">
                  <c:v>196</c:v>
                </c:pt>
                <c:pt idx="47">
                  <c:v>197</c:v>
                </c:pt>
                <c:pt idx="48">
                  <c:v>198</c:v>
                </c:pt>
                <c:pt idx="49">
                  <c:v>199</c:v>
                </c:pt>
                <c:pt idx="50">
                  <c:v>200</c:v>
                </c:pt>
              </c:numCache>
            </c:numRef>
          </c:cat>
          <c:val>
            <c:numRef>
              <c:f>'7'!$B$2:$B$52</c:f>
              <c:numCache>
                <c:formatCode>General</c:formatCode>
                <c:ptCount val="51"/>
                <c:pt idx="0">
                  <c:v>9.6844912161810965E-5</c:v>
                </c:pt>
                <c:pt idx="1">
                  <c:v>1.5967026664026341E-4</c:v>
                </c:pt>
                <c:pt idx="2">
                  <c:v>2.5793373014666569E-4</c:v>
                </c:pt>
                <c:pt idx="3">
                  <c:v>4.0825270819644502E-4</c:v>
                </c:pt>
                <c:pt idx="4">
                  <c:v>6.3312120170542965E-4</c:v>
                </c:pt>
                <c:pt idx="5">
                  <c:v>9.6201421074717749E-4</c:v>
                </c:pt>
                <c:pt idx="6">
                  <c:v>1.4322306547697795E-3</c:v>
                </c:pt>
                <c:pt idx="7">
                  <c:v>2.0892061217045723E-3</c:v>
                </c:pt>
                <c:pt idx="8">
                  <c:v>2.9859770251128835E-3</c:v>
                </c:pt>
                <c:pt idx="9">
                  <c:v>4.1814651470229672E-3</c:v>
                </c:pt>
                <c:pt idx="10">
                  <c:v>5.737297205843303E-3</c:v>
                </c:pt>
                <c:pt idx="11">
                  <c:v>7.712995216169723E-3</c:v>
                </c:pt>
                <c:pt idx="12">
                  <c:v>1.0159576932727636E-2</c:v>
                </c:pt>
                <c:pt idx="13">
                  <c:v>1.3111881994872581E-2</c:v>
                </c:pt>
                <c:pt idx="14">
                  <c:v>1.6580258143722392E-2</c:v>
                </c:pt>
                <c:pt idx="15">
                  <c:v>2.054255182126689E-2</c:v>
                </c:pt>
                <c:pt idx="16">
                  <c:v>2.493758204020002E-2</c:v>
                </c:pt>
                <c:pt idx="17">
                  <c:v>2.9661365445028648E-2</c:v>
                </c:pt>
                <c:pt idx="18">
                  <c:v>3.4567246359877624E-2</c:v>
                </c:pt>
                <c:pt idx="19">
                  <c:v>3.9470740790642965E-2</c:v>
                </c:pt>
                <c:pt idx="20">
                  <c:v>4.4159344402723774E-2</c:v>
                </c:pt>
                <c:pt idx="21">
                  <c:v>4.8406847965255365E-2</c:v>
                </c:pt>
                <c:pt idx="22">
                  <c:v>5.1990960245069093E-2</c:v>
                </c:pt>
                <c:pt idx="23">
                  <c:v>5.4712394277744596E-2</c:v>
                </c:pt>
                <c:pt idx="24">
                  <c:v>5.6413162847180141E-2</c:v>
                </c:pt>
                <c:pt idx="25">
                  <c:v>5.6991754343061814E-2</c:v>
                </c:pt>
                <c:pt idx="26">
                  <c:v>5.6413162847180141E-2</c:v>
                </c:pt>
                <c:pt idx="27">
                  <c:v>5.4712394277744596E-2</c:v>
                </c:pt>
                <c:pt idx="28">
                  <c:v>5.1990960245069093E-2</c:v>
                </c:pt>
                <c:pt idx="29">
                  <c:v>4.8406847965255365E-2</c:v>
                </c:pt>
                <c:pt idx="30">
                  <c:v>4.4159344402723774E-2</c:v>
                </c:pt>
                <c:pt idx="31">
                  <c:v>3.9470740790642965E-2</c:v>
                </c:pt>
                <c:pt idx="32">
                  <c:v>3.4567246359877624E-2</c:v>
                </c:pt>
                <c:pt idx="33">
                  <c:v>2.9661365445028648E-2</c:v>
                </c:pt>
                <c:pt idx="34">
                  <c:v>2.493758204020002E-2</c:v>
                </c:pt>
                <c:pt idx="35">
                  <c:v>2.054255182126689E-2</c:v>
                </c:pt>
                <c:pt idx="36">
                  <c:v>1.6580258143722392E-2</c:v>
                </c:pt>
                <c:pt idx="37">
                  <c:v>1.3111881994872581E-2</c:v>
                </c:pt>
                <c:pt idx="38">
                  <c:v>1.0159576932727636E-2</c:v>
                </c:pt>
                <c:pt idx="39">
                  <c:v>7.712995216169723E-3</c:v>
                </c:pt>
                <c:pt idx="40">
                  <c:v>5.737297205843303E-3</c:v>
                </c:pt>
                <c:pt idx="41">
                  <c:v>4.1814651470229672E-3</c:v>
                </c:pt>
                <c:pt idx="42">
                  <c:v>2.9859770251128835E-3</c:v>
                </c:pt>
                <c:pt idx="43">
                  <c:v>2.0892061217045723E-3</c:v>
                </c:pt>
                <c:pt idx="44">
                  <c:v>1.4322306547697795E-3</c:v>
                </c:pt>
                <c:pt idx="45">
                  <c:v>9.6201421074717749E-4</c:v>
                </c:pt>
                <c:pt idx="46">
                  <c:v>6.3312120170542965E-4</c:v>
                </c:pt>
                <c:pt idx="47">
                  <c:v>4.0825270819644502E-4</c:v>
                </c:pt>
                <c:pt idx="48">
                  <c:v>2.5793373014666569E-4</c:v>
                </c:pt>
                <c:pt idx="49">
                  <c:v>1.5967026664026341E-4</c:v>
                </c:pt>
                <c:pt idx="50">
                  <c:v>9.6844912161810965E-5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8-4421-B4D2-02492AF4A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046767"/>
        <c:axId val="216041967"/>
      </c:lineChart>
      <c:catAx>
        <c:axId val="21604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41967"/>
        <c:crosses val="autoZero"/>
        <c:auto val="1"/>
        <c:lblAlgn val="ctr"/>
        <c:lblOffset val="100"/>
        <c:noMultiLvlLbl val="0"/>
      </c:catAx>
      <c:valAx>
        <c:axId val="2160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4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'13'!$B$2:$B$11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7</c:v>
                </c:pt>
                <c:pt idx="8">
                  <c:v>0</c:v>
                </c:pt>
                <c:pt idx="9">
                  <c:v>5</c:v>
                </c:pt>
              </c:numCache>
            </c:numRef>
          </c:xVal>
          <c:yVal>
            <c:numRef>
              <c:f>'13'!$C$2:$C$11</c:f>
              <c:numCache>
                <c:formatCode>General</c:formatCode>
                <c:ptCount val="10"/>
                <c:pt idx="0">
                  <c:v>65</c:v>
                </c:pt>
                <c:pt idx="1">
                  <c:v>80</c:v>
                </c:pt>
                <c:pt idx="2">
                  <c:v>50</c:v>
                </c:pt>
                <c:pt idx="3">
                  <c:v>90</c:v>
                </c:pt>
                <c:pt idx="4">
                  <c:v>75</c:v>
                </c:pt>
                <c:pt idx="5">
                  <c:v>85</c:v>
                </c:pt>
                <c:pt idx="6">
                  <c:v>70</c:v>
                </c:pt>
                <c:pt idx="7">
                  <c:v>88</c:v>
                </c:pt>
                <c:pt idx="8">
                  <c:v>45</c:v>
                </c:pt>
                <c:pt idx="9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B-4625-91F1-DC8DFD718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047135"/>
        <c:axId val="284051455"/>
      </c:scatterChart>
      <c:valAx>
        <c:axId val="28404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51455"/>
        <c:crosses val="autoZero"/>
        <c:crossBetween val="midCat"/>
      </c:valAx>
      <c:valAx>
        <c:axId val="2840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4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15240</xdr:rowOff>
    </xdr:from>
    <xdr:to>
      <xdr:col>11</xdr:col>
      <xdr:colOff>213360</xdr:colOff>
      <xdr:row>21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281BCA-DC9D-B9A9-A4A2-F5DFA85DB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1</xdr:row>
      <xdr:rowOff>80010</xdr:rowOff>
    </xdr:from>
    <xdr:to>
      <xdr:col>10</xdr:col>
      <xdr:colOff>350520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DAD97-11F1-6A79-03ED-DCF678314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0</xdr:row>
      <xdr:rowOff>179070</xdr:rowOff>
    </xdr:from>
    <xdr:to>
      <xdr:col>9</xdr:col>
      <xdr:colOff>556260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DC004-D39C-BABD-2719-091ED5159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353290</xdr:colOff>
      <xdr:row>1</xdr:row>
      <xdr:rowOff>193963</xdr:rowOff>
    </xdr:from>
    <xdr:to>
      <xdr:col>27</xdr:col>
      <xdr:colOff>27709</xdr:colOff>
      <xdr:row>21</xdr:row>
      <xdr:rowOff>193964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DC8C0D-A263-A8A9-1F65-24879269B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11430</xdr:rowOff>
    </xdr:from>
    <xdr:to>
      <xdr:col>10</xdr:col>
      <xdr:colOff>381000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D0D7D2-7153-6B4E-2AF8-A5BD76C34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0</xdr:row>
      <xdr:rowOff>64770</xdr:rowOff>
    </xdr:from>
    <xdr:to>
      <xdr:col>10</xdr:col>
      <xdr:colOff>579120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A030A-4397-410C-9996-C138EA8F6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0</xdr:row>
      <xdr:rowOff>217170</xdr:rowOff>
    </xdr:from>
    <xdr:to>
      <xdr:col>10</xdr:col>
      <xdr:colOff>83820</xdr:colOff>
      <xdr:row>14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827A1-EA07-5F01-1CB7-5662EAB5F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503999</xdr:colOff>
      <xdr:row>0</xdr:row>
      <xdr:rowOff>368481</xdr:rowOff>
    </xdr:from>
    <xdr:to>
      <xdr:col>17</xdr:col>
      <xdr:colOff>174162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00423-9D44-9974-9A6F-AAB054016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1</xdr:row>
      <xdr:rowOff>129540</xdr:rowOff>
    </xdr:from>
    <xdr:to>
      <xdr:col>9</xdr:col>
      <xdr:colOff>548640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16C38-77ED-5584-E46B-47F9A0390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5</xdr:row>
      <xdr:rowOff>34290</xdr:rowOff>
    </xdr:from>
    <xdr:to>
      <xdr:col>11</xdr:col>
      <xdr:colOff>297180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43042-3BB1-183C-3281-F51017080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E23A-4618-4970-A9D9-4C40A09D7710}">
  <dimension ref="A1:Q25"/>
  <sheetViews>
    <sheetView workbookViewId="0">
      <selection activeCell="Q10" sqref="Q10"/>
    </sheetView>
  </sheetViews>
  <sheetFormatPr defaultRowHeight="14.4" x14ac:dyDescent="0.3"/>
  <cols>
    <col min="1" max="1" width="14.33203125" customWidth="1"/>
    <col min="2" max="2" width="17.77734375" customWidth="1"/>
    <col min="17" max="17" width="20.88671875" customWidth="1"/>
  </cols>
  <sheetData>
    <row r="1" spans="1:17" ht="46.2" customHeight="1" thickBot="1" x14ac:dyDescent="0.35">
      <c r="A1" s="3" t="s">
        <v>0</v>
      </c>
      <c r="B1" s="4" t="s">
        <v>1</v>
      </c>
    </row>
    <row r="2" spans="1:17" ht="15" thickBot="1" x14ac:dyDescent="0.35">
      <c r="A2" s="5">
        <v>0</v>
      </c>
      <c r="B2" s="6">
        <f>(_xlfn.BINOM.DIST(A2,20,0.05,FALSE))</f>
        <v>0.35848592240854221</v>
      </c>
    </row>
    <row r="3" spans="1:17" ht="15" thickBot="1" x14ac:dyDescent="0.35">
      <c r="A3" s="5">
        <v>1</v>
      </c>
      <c r="B3" s="6">
        <f t="shared" ref="B3:B22" si="0">(_xlfn.BINOM.DIST(A3,20,0.05,FALSE))</f>
        <v>0.37735360253530759</v>
      </c>
    </row>
    <row r="4" spans="1:17" ht="15" thickBot="1" x14ac:dyDescent="0.35">
      <c r="A4" s="5">
        <v>2</v>
      </c>
      <c r="B4" s="6">
        <f t="shared" si="0"/>
        <v>0.18867680126765382</v>
      </c>
    </row>
    <row r="5" spans="1:17" ht="15" thickBot="1" x14ac:dyDescent="0.35">
      <c r="A5" s="5">
        <v>3</v>
      </c>
      <c r="B5" s="6">
        <f t="shared" si="0"/>
        <v>5.958214776873276E-2</v>
      </c>
      <c r="Q5" s="7"/>
    </row>
    <row r="6" spans="1:17" ht="15" thickBot="1" x14ac:dyDescent="0.35">
      <c r="A6" s="5">
        <v>4</v>
      </c>
      <c r="B6" s="6">
        <f t="shared" si="0"/>
        <v>1.3327585685111285E-2</v>
      </c>
      <c r="Q6" s="7"/>
    </row>
    <row r="7" spans="1:17" ht="15" thickBot="1" x14ac:dyDescent="0.35">
      <c r="A7" s="5">
        <v>5</v>
      </c>
      <c r="B7" s="6">
        <f t="shared" si="0"/>
        <v>2.2446460101240048E-3</v>
      </c>
      <c r="Q7" s="7"/>
    </row>
    <row r="8" spans="1:17" ht="15" thickBot="1" x14ac:dyDescent="0.35">
      <c r="A8" s="5">
        <v>6</v>
      </c>
      <c r="B8" s="6">
        <f t="shared" si="0"/>
        <v>2.9534815922684256E-4</v>
      </c>
      <c r="Q8" s="7"/>
    </row>
    <row r="9" spans="1:17" ht="15" thickBot="1" x14ac:dyDescent="0.35">
      <c r="A9" s="5">
        <v>7</v>
      </c>
      <c r="B9" s="6">
        <f t="shared" si="0"/>
        <v>3.1089279918615041E-5</v>
      </c>
      <c r="Q9" s="7"/>
    </row>
    <row r="10" spans="1:17" ht="15" thickBot="1" x14ac:dyDescent="0.35">
      <c r="A10" s="5">
        <v>8</v>
      </c>
      <c r="B10" s="6">
        <f t="shared" si="0"/>
        <v>2.6589515719868189E-6</v>
      </c>
      <c r="Q10" s="7"/>
    </row>
    <row r="11" spans="1:17" ht="15" thickBot="1" x14ac:dyDescent="0.35">
      <c r="A11" s="5">
        <v>9</v>
      </c>
      <c r="B11" s="6">
        <f t="shared" si="0"/>
        <v>1.8659309277100406E-7</v>
      </c>
      <c r="Q11" s="7"/>
    </row>
    <row r="12" spans="1:17" ht="15" thickBot="1" x14ac:dyDescent="0.35">
      <c r="A12" s="5">
        <v>10</v>
      </c>
      <c r="B12" s="6">
        <f t="shared" si="0"/>
        <v>1.0802758002531793E-8</v>
      </c>
      <c r="Q12" s="7"/>
    </row>
    <row r="13" spans="1:17" ht="15" thickBot="1" x14ac:dyDescent="0.35">
      <c r="A13" s="5">
        <v>11</v>
      </c>
      <c r="B13" s="6">
        <f t="shared" si="0"/>
        <v>5.1687837332688315E-10</v>
      </c>
      <c r="Q13" s="7"/>
    </row>
    <row r="14" spans="1:17" ht="15" thickBot="1" x14ac:dyDescent="0.35">
      <c r="A14" s="5">
        <v>12</v>
      </c>
      <c r="B14" s="6">
        <f t="shared" si="0"/>
        <v>2.0403093683955783E-11</v>
      </c>
      <c r="Q14" s="7"/>
    </row>
    <row r="15" spans="1:17" ht="15" thickBot="1" x14ac:dyDescent="0.35">
      <c r="A15" s="5">
        <v>13</v>
      </c>
      <c r="B15" s="6">
        <f t="shared" si="0"/>
        <v>6.6082894522934075E-13</v>
      </c>
      <c r="Q15" s="7"/>
    </row>
    <row r="16" spans="1:17" ht="15" thickBot="1" x14ac:dyDescent="0.35">
      <c r="A16" s="5">
        <v>14</v>
      </c>
      <c r="B16" s="6">
        <f t="shared" si="0"/>
        <v>1.7390235400772204E-14</v>
      </c>
      <c r="Q16" s="7"/>
    </row>
    <row r="17" spans="1:17" ht="15" thickBot="1" x14ac:dyDescent="0.35">
      <c r="A17" s="5">
        <v>15</v>
      </c>
      <c r="B17" s="6">
        <f t="shared" si="0"/>
        <v>3.661102189636231E-16</v>
      </c>
      <c r="Q17" s="7"/>
    </row>
    <row r="18" spans="1:17" ht="15" thickBot="1" x14ac:dyDescent="0.35">
      <c r="A18" s="5">
        <v>16</v>
      </c>
      <c r="B18" s="6">
        <f t="shared" si="0"/>
        <v>6.0215496540069876E-18</v>
      </c>
      <c r="Q18" s="7"/>
    </row>
    <row r="19" spans="1:17" ht="15" thickBot="1" x14ac:dyDescent="0.35">
      <c r="A19" s="5">
        <v>17</v>
      </c>
      <c r="B19" s="6">
        <f t="shared" si="0"/>
        <v>7.4570274353026734E-20</v>
      </c>
      <c r="Q19" s="7"/>
    </row>
    <row r="20" spans="1:17" ht="15" thickBot="1" x14ac:dyDescent="0.35">
      <c r="A20" s="5">
        <v>18</v>
      </c>
      <c r="B20" s="6">
        <f t="shared" si="0"/>
        <v>6.5412521362304515E-22</v>
      </c>
      <c r="Q20" s="7"/>
    </row>
    <row r="21" spans="1:17" ht="15" thickBot="1" x14ac:dyDescent="0.35">
      <c r="A21" s="5">
        <v>19</v>
      </c>
      <c r="B21" s="6">
        <f t="shared" si="0"/>
        <v>3.6239624023437785E-24</v>
      </c>
      <c r="Q21" s="7"/>
    </row>
    <row r="22" spans="1:17" ht="15" thickBot="1" x14ac:dyDescent="0.35">
      <c r="A22" s="5">
        <v>20</v>
      </c>
      <c r="B22" s="6">
        <f t="shared" si="0"/>
        <v>9.536743164062544E-27</v>
      </c>
      <c r="Q22" s="7"/>
    </row>
    <row r="23" spans="1:17" x14ac:dyDescent="0.3">
      <c r="A23" s="1"/>
      <c r="B23" s="2"/>
      <c r="Q23" s="7"/>
    </row>
    <row r="24" spans="1:17" x14ac:dyDescent="0.3">
      <c r="Q24" s="7"/>
    </row>
    <row r="25" spans="1:17" x14ac:dyDescent="0.3">
      <c r="Q25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8A80-8FC2-4828-B772-E82908D846E2}">
  <dimension ref="A1:B17"/>
  <sheetViews>
    <sheetView zoomScale="130" zoomScaleNormal="130" workbookViewId="0">
      <selection activeCell="B20" sqref="B20"/>
    </sheetView>
  </sheetViews>
  <sheetFormatPr defaultRowHeight="14.4" x14ac:dyDescent="0.3"/>
  <cols>
    <col min="1" max="1" width="17.88671875" customWidth="1"/>
    <col min="2" max="2" width="14.6640625" customWidth="1"/>
  </cols>
  <sheetData>
    <row r="1" spans="1:2" x14ac:dyDescent="0.3">
      <c r="A1" s="8" t="s">
        <v>2</v>
      </c>
      <c r="B1" s="8" t="s">
        <v>1</v>
      </c>
    </row>
    <row r="2" spans="1:2" x14ac:dyDescent="0.3">
      <c r="A2" s="8">
        <v>0</v>
      </c>
      <c r="B2" s="8">
        <f>_xlfn.BINOM.DIST(A3, 15, 0.1, FALSE)</f>
        <v>0.343151886824415</v>
      </c>
    </row>
    <row r="3" spans="1:2" x14ac:dyDescent="0.3">
      <c r="A3" s="8">
        <f>(A2+1)</f>
        <v>1</v>
      </c>
      <c r="B3" s="8">
        <f t="shared" ref="B3:B17" si="0">_xlfn.BINOM.DIST(A4, 15, 0.1, FALSE)</f>
        <v>0.26689591197454504</v>
      </c>
    </row>
    <row r="4" spans="1:2" x14ac:dyDescent="0.3">
      <c r="A4" s="8">
        <f t="shared" ref="A4:A16" si="1">(A3+1)</f>
        <v>2</v>
      </c>
      <c r="B4" s="8">
        <f t="shared" si="0"/>
        <v>0.12850543909885501</v>
      </c>
    </row>
    <row r="5" spans="1:2" x14ac:dyDescent="0.3">
      <c r="A5" s="8">
        <f t="shared" si="1"/>
        <v>3</v>
      </c>
      <c r="B5" s="8">
        <f t="shared" si="0"/>
        <v>4.2835146366285E-2</v>
      </c>
    </row>
    <row r="6" spans="1:2" x14ac:dyDescent="0.3">
      <c r="A6" s="8">
        <f t="shared" si="1"/>
        <v>4</v>
      </c>
      <c r="B6" s="8">
        <f t="shared" si="0"/>
        <v>1.0470813556202989E-2</v>
      </c>
    </row>
    <row r="7" spans="1:2" x14ac:dyDescent="0.3">
      <c r="A7" s="8">
        <f t="shared" si="1"/>
        <v>5</v>
      </c>
      <c r="B7" s="8">
        <f t="shared" si="0"/>
        <v>1.939039547445001E-3</v>
      </c>
    </row>
    <row r="8" spans="1:2" x14ac:dyDescent="0.3">
      <c r="A8" s="8">
        <f t="shared" si="1"/>
        <v>6</v>
      </c>
      <c r="B8" s="8">
        <f t="shared" si="0"/>
        <v>2.7700564963500002E-4</v>
      </c>
    </row>
    <row r="9" spans="1:2" x14ac:dyDescent="0.3">
      <c r="A9" s="8">
        <f t="shared" si="1"/>
        <v>7</v>
      </c>
      <c r="B9" s="8">
        <f t="shared" si="0"/>
        <v>3.0778405515000034E-5</v>
      </c>
    </row>
    <row r="10" spans="1:2" x14ac:dyDescent="0.3">
      <c r="A10" s="8">
        <f t="shared" si="1"/>
        <v>8</v>
      </c>
      <c r="B10" s="8">
        <f t="shared" si="0"/>
        <v>2.6598622049999972E-6</v>
      </c>
    </row>
    <row r="11" spans="1:2" x14ac:dyDescent="0.3">
      <c r="A11" s="8">
        <f t="shared" si="1"/>
        <v>9</v>
      </c>
      <c r="B11" s="8">
        <f t="shared" si="0"/>
        <v>1.773241469999999E-7</v>
      </c>
    </row>
    <row r="12" spans="1:2" x14ac:dyDescent="0.3">
      <c r="A12" s="8">
        <f t="shared" si="1"/>
        <v>10</v>
      </c>
      <c r="B12" s="8">
        <f t="shared" si="0"/>
        <v>8.9557650000000203E-9</v>
      </c>
    </row>
    <row r="13" spans="1:2" x14ac:dyDescent="0.3">
      <c r="A13" s="8">
        <f t="shared" si="1"/>
        <v>11</v>
      </c>
      <c r="B13" s="8">
        <f t="shared" si="0"/>
        <v>3.3169500000000198E-10</v>
      </c>
    </row>
    <row r="14" spans="1:2" x14ac:dyDescent="0.3">
      <c r="A14" s="8">
        <f t="shared" si="1"/>
        <v>12</v>
      </c>
      <c r="B14" s="8">
        <f t="shared" si="0"/>
        <v>8.5050000000000248E-12</v>
      </c>
    </row>
    <row r="15" spans="1:2" x14ac:dyDescent="0.3">
      <c r="A15" s="8">
        <f t="shared" si="1"/>
        <v>13</v>
      </c>
      <c r="B15" s="8">
        <f t="shared" si="0"/>
        <v>1.3500000000000046E-13</v>
      </c>
    </row>
    <row r="16" spans="1:2" x14ac:dyDescent="0.3">
      <c r="A16" s="8">
        <f t="shared" si="1"/>
        <v>14</v>
      </c>
      <c r="B16" s="8">
        <f t="shared" si="0"/>
        <v>1.0000000000000013E-15</v>
      </c>
    </row>
    <row r="17" spans="1:2" x14ac:dyDescent="0.3">
      <c r="A17" s="8">
        <f>(A16+1)</f>
        <v>15</v>
      </c>
      <c r="B17" s="8">
        <f t="shared" si="0"/>
        <v>0.20589113209464899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0A17-D014-428F-B991-F3ED280C68B9}">
  <dimension ref="A1:B12"/>
  <sheetViews>
    <sheetView zoomScale="145" zoomScaleNormal="145" workbookViewId="0">
      <selection activeCell="M13" sqref="M13"/>
    </sheetView>
  </sheetViews>
  <sheetFormatPr defaultRowHeight="14.4" x14ac:dyDescent="0.3"/>
  <cols>
    <col min="1" max="1" width="24.6640625" customWidth="1"/>
    <col min="2" max="2" width="15.21875" customWidth="1"/>
  </cols>
  <sheetData>
    <row r="1" spans="1:2" x14ac:dyDescent="0.3">
      <c r="A1" s="8" t="s">
        <v>3</v>
      </c>
      <c r="B1" s="8" t="s">
        <v>1</v>
      </c>
    </row>
    <row r="2" spans="1:2" x14ac:dyDescent="0.3">
      <c r="A2" s="8">
        <v>0</v>
      </c>
      <c r="B2" s="8">
        <f>_xlfn.BINOM.DIST(A3, 10, 0.7, FALSE)</f>
        <v>1.3778100000000015E-4</v>
      </c>
    </row>
    <row r="3" spans="1:2" x14ac:dyDescent="0.3">
      <c r="A3" s="8">
        <f>(A2+1)</f>
        <v>1</v>
      </c>
      <c r="B3" s="8">
        <f t="shared" ref="B3:B12" si="0">_xlfn.BINOM.DIST(A4, 10, 0.7, FALSE)</f>
        <v>1.4467005000000047E-3</v>
      </c>
    </row>
    <row r="4" spans="1:2" x14ac:dyDescent="0.3">
      <c r="A4" s="8">
        <f t="shared" ref="A4:A12" si="1">(A3+1)</f>
        <v>2</v>
      </c>
      <c r="B4" s="8">
        <f t="shared" si="0"/>
        <v>9.0016920000000108E-3</v>
      </c>
    </row>
    <row r="5" spans="1:2" x14ac:dyDescent="0.3">
      <c r="A5" s="8">
        <f t="shared" si="1"/>
        <v>3</v>
      </c>
      <c r="B5" s="8">
        <f t="shared" si="0"/>
        <v>3.6756909000000053E-2</v>
      </c>
    </row>
    <row r="6" spans="1:2" x14ac:dyDescent="0.3">
      <c r="A6" s="8">
        <f t="shared" si="1"/>
        <v>4</v>
      </c>
      <c r="B6" s="8">
        <f t="shared" si="0"/>
        <v>0.10291934520000004</v>
      </c>
    </row>
    <row r="7" spans="1:2" x14ac:dyDescent="0.3">
      <c r="A7" s="8">
        <f t="shared" si="1"/>
        <v>5</v>
      </c>
      <c r="B7" s="8">
        <f t="shared" si="0"/>
        <v>0.20012094900000008</v>
      </c>
    </row>
    <row r="8" spans="1:2" x14ac:dyDescent="0.3">
      <c r="A8" s="8">
        <f t="shared" si="1"/>
        <v>6</v>
      </c>
      <c r="B8" s="8">
        <f t="shared" si="0"/>
        <v>0.26682793200000005</v>
      </c>
    </row>
    <row r="9" spans="1:2" x14ac:dyDescent="0.3">
      <c r="A9" s="8">
        <f t="shared" si="1"/>
        <v>7</v>
      </c>
      <c r="B9" s="8">
        <f t="shared" si="0"/>
        <v>0.23347444050000005</v>
      </c>
    </row>
    <row r="10" spans="1:2" x14ac:dyDescent="0.3">
      <c r="A10" s="8">
        <f t="shared" si="1"/>
        <v>8</v>
      </c>
      <c r="B10" s="8">
        <f t="shared" si="0"/>
        <v>0.121060821</v>
      </c>
    </row>
    <row r="11" spans="1:2" x14ac:dyDescent="0.3">
      <c r="A11" s="8">
        <f t="shared" si="1"/>
        <v>9</v>
      </c>
      <c r="B11" s="8">
        <f t="shared" si="0"/>
        <v>2.824752489999998E-2</v>
      </c>
    </row>
    <row r="12" spans="1:2" x14ac:dyDescent="0.3">
      <c r="A12" s="8">
        <f t="shared" si="1"/>
        <v>10</v>
      </c>
      <c r="B12" s="8">
        <f t="shared" si="0"/>
        <v>5.9049000000000059E-6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E7E2-D014-4541-B117-2096DA10464D}">
  <dimension ref="A1:E22"/>
  <sheetViews>
    <sheetView zoomScale="62" zoomScaleNormal="62" workbookViewId="0">
      <selection activeCell="D2" sqref="D2:E22"/>
    </sheetView>
  </sheetViews>
  <sheetFormatPr defaultRowHeight="14.4" x14ac:dyDescent="0.3"/>
  <cols>
    <col min="4" max="4" width="17.77734375" customWidth="1"/>
    <col min="5" max="5" width="25.109375" customWidth="1"/>
  </cols>
  <sheetData>
    <row r="1" spans="1:5" ht="15" thickBot="1" x14ac:dyDescent="0.35">
      <c r="A1" s="9" t="s">
        <v>4</v>
      </c>
      <c r="B1" s="9" t="s">
        <v>5</v>
      </c>
      <c r="C1" s="9" t="s">
        <v>6</v>
      </c>
      <c r="D1" s="9" t="s">
        <v>7</v>
      </c>
      <c r="E1" s="10" t="s">
        <v>8</v>
      </c>
    </row>
    <row r="2" spans="1:5" ht="27.6" thickBot="1" x14ac:dyDescent="0.35">
      <c r="A2" s="11">
        <v>5</v>
      </c>
      <c r="B2" s="11">
        <v>0</v>
      </c>
      <c r="C2" s="11">
        <v>0</v>
      </c>
      <c r="D2" s="9" t="s">
        <v>9</v>
      </c>
      <c r="E2" s="11">
        <v>3.125E-2</v>
      </c>
    </row>
    <row r="3" spans="1:5" ht="27.6" thickBot="1" x14ac:dyDescent="0.35">
      <c r="A3" s="11">
        <v>4</v>
      </c>
      <c r="B3" s="11">
        <v>1</v>
      </c>
      <c r="C3" s="11">
        <v>0</v>
      </c>
      <c r="D3" s="9" t="s">
        <v>10</v>
      </c>
      <c r="E3" s="11">
        <v>9.375E-2</v>
      </c>
    </row>
    <row r="4" spans="1:5" ht="27.6" thickBot="1" x14ac:dyDescent="0.35">
      <c r="A4" s="11">
        <v>4</v>
      </c>
      <c r="B4" s="11">
        <v>0</v>
      </c>
      <c r="C4" s="11">
        <v>1</v>
      </c>
      <c r="D4" s="9" t="s">
        <v>11</v>
      </c>
      <c r="E4" s="11">
        <v>6.25E-2</v>
      </c>
    </row>
    <row r="5" spans="1:5" ht="27.6" thickBot="1" x14ac:dyDescent="0.35">
      <c r="A5" s="11">
        <v>3</v>
      </c>
      <c r="B5" s="11">
        <v>2</v>
      </c>
      <c r="C5" s="11">
        <v>0</v>
      </c>
      <c r="D5" s="9" t="s">
        <v>12</v>
      </c>
      <c r="E5" s="11">
        <v>0.09</v>
      </c>
    </row>
    <row r="6" spans="1:5" ht="27.6" thickBot="1" x14ac:dyDescent="0.35">
      <c r="A6" s="11">
        <v>3</v>
      </c>
      <c r="B6" s="11">
        <v>1</v>
      </c>
      <c r="C6" s="11">
        <v>1</v>
      </c>
      <c r="D6" s="9" t="s">
        <v>13</v>
      </c>
      <c r="E6" s="11">
        <v>0.12</v>
      </c>
    </row>
    <row r="7" spans="1:5" ht="27.6" thickBot="1" x14ac:dyDescent="0.35">
      <c r="A7" s="11">
        <v>3</v>
      </c>
      <c r="B7" s="11">
        <v>0</v>
      </c>
      <c r="C7" s="11">
        <v>2</v>
      </c>
      <c r="D7" s="9" t="s">
        <v>14</v>
      </c>
      <c r="E7" s="11">
        <v>0.04</v>
      </c>
    </row>
    <row r="8" spans="1:5" ht="27.6" thickBot="1" x14ac:dyDescent="0.35">
      <c r="A8" s="11">
        <v>2</v>
      </c>
      <c r="B8" s="11">
        <v>3</v>
      </c>
      <c r="C8" s="11">
        <v>0</v>
      </c>
      <c r="D8" s="9" t="s">
        <v>15</v>
      </c>
      <c r="E8" s="11">
        <v>6.7500000000000004E-2</v>
      </c>
    </row>
    <row r="9" spans="1:5" ht="27.6" thickBot="1" x14ac:dyDescent="0.35">
      <c r="A9" s="11">
        <v>2</v>
      </c>
      <c r="B9" s="11">
        <v>2</v>
      </c>
      <c r="C9" s="11">
        <v>1</v>
      </c>
      <c r="D9" s="9" t="s">
        <v>16</v>
      </c>
      <c r="E9" s="11">
        <v>0.13500000000000001</v>
      </c>
    </row>
    <row r="10" spans="1:5" ht="27.6" thickBot="1" x14ac:dyDescent="0.35">
      <c r="A10" s="11">
        <v>2</v>
      </c>
      <c r="B10" s="11">
        <v>1</v>
      </c>
      <c r="C10" s="11">
        <v>2</v>
      </c>
      <c r="D10" s="9" t="s">
        <v>17</v>
      </c>
      <c r="E10" s="11">
        <v>0.09</v>
      </c>
    </row>
    <row r="11" spans="1:5" ht="27.6" thickBot="1" x14ac:dyDescent="0.35">
      <c r="A11" s="11">
        <v>2</v>
      </c>
      <c r="B11" s="11">
        <v>0</v>
      </c>
      <c r="C11" s="11">
        <v>3</v>
      </c>
      <c r="D11" s="9" t="s">
        <v>18</v>
      </c>
      <c r="E11" s="11">
        <v>0.02</v>
      </c>
    </row>
    <row r="12" spans="1:5" ht="27.6" thickBot="1" x14ac:dyDescent="0.35">
      <c r="A12" s="11">
        <v>1</v>
      </c>
      <c r="B12" s="11">
        <v>4</v>
      </c>
      <c r="C12" s="11">
        <v>0</v>
      </c>
      <c r="D12" s="9" t="s">
        <v>19</v>
      </c>
      <c r="E12" s="11">
        <v>4.0500000000000001E-2</v>
      </c>
    </row>
    <row r="13" spans="1:5" ht="27.6" thickBot="1" x14ac:dyDescent="0.35">
      <c r="A13" s="11">
        <v>1</v>
      </c>
      <c r="B13" s="11">
        <v>3</v>
      </c>
      <c r="C13" s="11">
        <v>1</v>
      </c>
      <c r="D13" s="9" t="s">
        <v>20</v>
      </c>
      <c r="E13" s="11">
        <v>8.1000000000000003E-2</v>
      </c>
    </row>
    <row r="14" spans="1:5" ht="27.6" thickBot="1" x14ac:dyDescent="0.35">
      <c r="A14" s="11">
        <v>1</v>
      </c>
      <c r="B14" s="11">
        <v>2</v>
      </c>
      <c r="C14" s="11">
        <v>2</v>
      </c>
      <c r="D14" s="9" t="s">
        <v>21</v>
      </c>
      <c r="E14" s="11">
        <v>8.1000000000000003E-2</v>
      </c>
    </row>
    <row r="15" spans="1:5" ht="15" thickBot="1" x14ac:dyDescent="0.35">
      <c r="A15" s="11">
        <v>1</v>
      </c>
      <c r="B15" s="11">
        <v>1</v>
      </c>
      <c r="C15" s="11">
        <v>3</v>
      </c>
      <c r="D15" s="9" t="s">
        <v>22</v>
      </c>
      <c r="E15" s="11">
        <v>3.5999999999999997E-2</v>
      </c>
    </row>
    <row r="16" spans="1:5" ht="15" thickBot="1" x14ac:dyDescent="0.35">
      <c r="A16" s="11">
        <v>1</v>
      </c>
      <c r="B16" s="11">
        <v>0</v>
      </c>
      <c r="C16" s="11">
        <v>4</v>
      </c>
      <c r="D16" s="9" t="s">
        <v>23</v>
      </c>
      <c r="E16" s="11">
        <v>8.0000000000000002E-3</v>
      </c>
    </row>
    <row r="17" spans="1:5" ht="15" thickBot="1" x14ac:dyDescent="0.35">
      <c r="A17" s="11">
        <v>0</v>
      </c>
      <c r="B17" s="11">
        <v>5</v>
      </c>
      <c r="C17" s="11">
        <v>0</v>
      </c>
      <c r="D17" s="9" t="s">
        <v>24</v>
      </c>
      <c r="E17" s="11">
        <v>2.4299999999999999E-3</v>
      </c>
    </row>
    <row r="18" spans="1:5" ht="15" thickBot="1" x14ac:dyDescent="0.35">
      <c r="A18" s="11">
        <v>0</v>
      </c>
      <c r="B18" s="11">
        <v>4</v>
      </c>
      <c r="C18" s="11">
        <v>1</v>
      </c>
      <c r="D18" s="9" t="s">
        <v>25</v>
      </c>
      <c r="E18" s="11">
        <v>8.0999999999999996E-3</v>
      </c>
    </row>
    <row r="19" spans="1:5" ht="15" thickBot="1" x14ac:dyDescent="0.35">
      <c r="A19" s="11">
        <v>0</v>
      </c>
      <c r="B19" s="11">
        <v>3</v>
      </c>
      <c r="C19" s="11">
        <v>2</v>
      </c>
      <c r="D19" s="9" t="s">
        <v>26</v>
      </c>
      <c r="E19" s="11">
        <v>1.6199999999999999E-2</v>
      </c>
    </row>
    <row r="20" spans="1:5" ht="15" thickBot="1" x14ac:dyDescent="0.35">
      <c r="A20" s="11">
        <v>0</v>
      </c>
      <c r="B20" s="11">
        <v>2</v>
      </c>
      <c r="C20" s="11">
        <v>3</v>
      </c>
      <c r="D20" s="9" t="s">
        <v>27</v>
      </c>
      <c r="E20" s="11">
        <v>1.44E-2</v>
      </c>
    </row>
    <row r="21" spans="1:5" ht="15" thickBot="1" x14ac:dyDescent="0.35">
      <c r="A21" s="11">
        <v>0</v>
      </c>
      <c r="B21" s="11">
        <v>1</v>
      </c>
      <c r="C21" s="11">
        <v>4</v>
      </c>
      <c r="D21" s="9" t="s">
        <v>28</v>
      </c>
      <c r="E21" s="11">
        <v>6.4000000000000003E-3</v>
      </c>
    </row>
    <row r="22" spans="1:5" ht="15" thickBot="1" x14ac:dyDescent="0.35">
      <c r="A22" s="11">
        <v>0</v>
      </c>
      <c r="B22" s="11">
        <v>0</v>
      </c>
      <c r="C22" s="11">
        <v>5</v>
      </c>
      <c r="D22" s="9" t="s">
        <v>29</v>
      </c>
      <c r="E22" s="11">
        <v>3.2000000000000003E-4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98D4-1FA2-4729-B852-7DE8125D512D}">
  <dimension ref="A1:B17"/>
  <sheetViews>
    <sheetView zoomScaleNormal="100" workbookViewId="0">
      <selection activeCell="P13" sqref="P13"/>
    </sheetView>
  </sheetViews>
  <sheetFormatPr defaultRowHeight="14.4" x14ac:dyDescent="0.3"/>
  <cols>
    <col min="1" max="1" width="16.44140625" customWidth="1"/>
    <col min="2" max="2" width="17.109375" customWidth="1"/>
  </cols>
  <sheetData>
    <row r="1" spans="1:2" ht="40.799999999999997" thickBot="1" x14ac:dyDescent="0.35">
      <c r="A1" s="9" t="s">
        <v>30</v>
      </c>
      <c r="B1" s="10" t="s">
        <v>1</v>
      </c>
    </row>
    <row r="2" spans="1:2" ht="15" thickBot="1" x14ac:dyDescent="0.35">
      <c r="A2" s="11">
        <v>0</v>
      </c>
      <c r="B2" s="11">
        <f>_xlfn.POISSON.DIST(A2, 5, FALSE)</f>
        <v>6.737946999085467E-3</v>
      </c>
    </row>
    <row r="3" spans="1:2" ht="15" thickBot="1" x14ac:dyDescent="0.35">
      <c r="A3" s="11">
        <v>1</v>
      </c>
      <c r="B3" s="11">
        <f t="shared" ref="B3:B17" si="0">_xlfn.POISSON.DIST(A3, 5, FALSE)</f>
        <v>3.368973499542733E-2</v>
      </c>
    </row>
    <row r="4" spans="1:2" ht="15" thickBot="1" x14ac:dyDescent="0.35">
      <c r="A4" s="11">
        <v>2</v>
      </c>
      <c r="B4" s="11">
        <f t="shared" si="0"/>
        <v>8.4224337488568335E-2</v>
      </c>
    </row>
    <row r="5" spans="1:2" ht="15" thickBot="1" x14ac:dyDescent="0.35">
      <c r="A5" s="11">
        <v>3</v>
      </c>
      <c r="B5" s="11">
        <f t="shared" si="0"/>
        <v>0.14037389581428059</v>
      </c>
    </row>
    <row r="6" spans="1:2" ht="15" thickBot="1" x14ac:dyDescent="0.35">
      <c r="A6" s="11">
        <v>4</v>
      </c>
      <c r="B6" s="11">
        <f t="shared" si="0"/>
        <v>0.17546736976785074</v>
      </c>
    </row>
    <row r="7" spans="1:2" ht="15" thickBot="1" x14ac:dyDescent="0.35">
      <c r="A7" s="11">
        <v>5</v>
      </c>
      <c r="B7" s="11">
        <f t="shared" si="0"/>
        <v>0.17546736976785071</v>
      </c>
    </row>
    <row r="8" spans="1:2" ht="15" thickBot="1" x14ac:dyDescent="0.35">
      <c r="A8" s="11">
        <v>6</v>
      </c>
      <c r="B8" s="11">
        <f t="shared" si="0"/>
        <v>0.14622280813987559</v>
      </c>
    </row>
    <row r="9" spans="1:2" ht="15" thickBot="1" x14ac:dyDescent="0.35">
      <c r="A9" s="11">
        <v>7</v>
      </c>
      <c r="B9" s="11">
        <f t="shared" si="0"/>
        <v>0.104444862957054</v>
      </c>
    </row>
    <row r="10" spans="1:2" ht="15" thickBot="1" x14ac:dyDescent="0.35">
      <c r="A10" s="11">
        <v>8</v>
      </c>
      <c r="B10" s="11">
        <f t="shared" si="0"/>
        <v>6.5278039348158706E-2</v>
      </c>
    </row>
    <row r="11" spans="1:2" ht="15" thickBot="1" x14ac:dyDescent="0.35">
      <c r="A11" s="11">
        <v>9</v>
      </c>
      <c r="B11" s="11">
        <f t="shared" si="0"/>
        <v>3.6265577415643749E-2</v>
      </c>
    </row>
    <row r="12" spans="1:2" ht="15" thickBot="1" x14ac:dyDescent="0.35">
      <c r="A12" s="11">
        <v>10</v>
      </c>
      <c r="B12" s="11">
        <f t="shared" si="0"/>
        <v>1.8132788707821874E-2</v>
      </c>
    </row>
    <row r="13" spans="1:2" ht="15" thickBot="1" x14ac:dyDescent="0.35">
      <c r="A13" s="11">
        <v>11</v>
      </c>
      <c r="B13" s="11">
        <f t="shared" si="0"/>
        <v>8.2421766853735742E-3</v>
      </c>
    </row>
    <row r="14" spans="1:2" ht="15" thickBot="1" x14ac:dyDescent="0.35">
      <c r="A14" s="11">
        <v>12</v>
      </c>
      <c r="B14" s="11">
        <f t="shared" si="0"/>
        <v>3.4342402855723282E-3</v>
      </c>
    </row>
    <row r="15" spans="1:2" ht="15" thickBot="1" x14ac:dyDescent="0.35">
      <c r="A15" s="11">
        <v>13</v>
      </c>
      <c r="B15" s="11">
        <f t="shared" si="0"/>
        <v>1.3208616482970471E-3</v>
      </c>
    </row>
    <row r="16" spans="1:2" ht="15" thickBot="1" x14ac:dyDescent="0.35">
      <c r="A16" s="11">
        <v>14</v>
      </c>
      <c r="B16" s="11">
        <f t="shared" si="0"/>
        <v>4.7173630296323246E-4</v>
      </c>
    </row>
    <row r="17" spans="1:2" ht="15" thickBot="1" x14ac:dyDescent="0.35">
      <c r="A17" s="11">
        <v>15</v>
      </c>
      <c r="B17" s="11">
        <f t="shared" si="0"/>
        <v>1.5724543432107704E-4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D65C-8860-4B82-B828-697C92A619F1}">
  <dimension ref="A1:C12"/>
  <sheetViews>
    <sheetView zoomScale="115" zoomScaleNormal="115" workbookViewId="0">
      <selection activeCell="Q23" sqref="Q23"/>
    </sheetView>
  </sheetViews>
  <sheetFormatPr defaultRowHeight="14.4" x14ac:dyDescent="0.3"/>
  <cols>
    <col min="1" max="1" width="20.6640625" customWidth="1"/>
    <col min="2" max="2" width="16" customWidth="1"/>
    <col min="3" max="3" width="29.21875" customWidth="1"/>
  </cols>
  <sheetData>
    <row r="1" spans="1:3" ht="31.2" customHeight="1" thickBot="1" x14ac:dyDescent="0.35">
      <c r="A1" s="9" t="s">
        <v>31</v>
      </c>
      <c r="B1" s="9" t="s">
        <v>32</v>
      </c>
      <c r="C1" s="12" t="s">
        <v>44</v>
      </c>
    </row>
    <row r="2" spans="1:3" ht="15" thickBot="1" x14ac:dyDescent="0.35">
      <c r="A2" s="11">
        <v>0</v>
      </c>
      <c r="B2" s="11">
        <f>_xlfn.NEGBINOM.DIST(A2, 1, 0.7, FALSE)</f>
        <v>0.7</v>
      </c>
      <c r="C2" s="9" t="s">
        <v>33</v>
      </c>
    </row>
    <row r="3" spans="1:3" ht="15" thickBot="1" x14ac:dyDescent="0.35">
      <c r="A3" s="11">
        <v>1</v>
      </c>
      <c r="B3" s="11">
        <f t="shared" ref="B3:B12" si="0">_xlfn.NEGBINOM.DIST(A3, 1, 0.7, FALSE)</f>
        <v>0.21000000000000002</v>
      </c>
      <c r="C3" s="9" t="s">
        <v>34</v>
      </c>
    </row>
    <row r="4" spans="1:3" ht="15" thickBot="1" x14ac:dyDescent="0.35">
      <c r="A4" s="11">
        <v>2</v>
      </c>
      <c r="B4" s="11">
        <f t="shared" si="0"/>
        <v>6.3000000000000014E-2</v>
      </c>
      <c r="C4" s="9" t="s">
        <v>35</v>
      </c>
    </row>
    <row r="5" spans="1:3" ht="15" thickBot="1" x14ac:dyDescent="0.35">
      <c r="A5" s="11">
        <v>3</v>
      </c>
      <c r="B5" s="11">
        <f t="shared" si="0"/>
        <v>1.8900000000000004E-2</v>
      </c>
      <c r="C5" s="9" t="s">
        <v>36</v>
      </c>
    </row>
    <row r="6" spans="1:3" ht="15" thickBot="1" x14ac:dyDescent="0.35">
      <c r="A6" s="11">
        <v>4</v>
      </c>
      <c r="B6" s="11">
        <f t="shared" si="0"/>
        <v>5.6700000000000014E-3</v>
      </c>
      <c r="C6" s="9" t="s">
        <v>37</v>
      </c>
    </row>
    <row r="7" spans="1:3" ht="15" thickBot="1" x14ac:dyDescent="0.35">
      <c r="A7" s="11">
        <v>5</v>
      </c>
      <c r="B7" s="11">
        <f t="shared" si="0"/>
        <v>1.7010000000000005E-3</v>
      </c>
      <c r="C7" s="9" t="s">
        <v>38</v>
      </c>
    </row>
    <row r="8" spans="1:3" ht="15" thickBot="1" x14ac:dyDescent="0.35">
      <c r="A8" s="11">
        <v>6</v>
      </c>
      <c r="B8" s="11">
        <f t="shared" si="0"/>
        <v>5.1030000000000021E-4</v>
      </c>
      <c r="C8" s="9" t="s">
        <v>39</v>
      </c>
    </row>
    <row r="9" spans="1:3" ht="15" thickBot="1" x14ac:dyDescent="0.35">
      <c r="A9" s="11">
        <v>7</v>
      </c>
      <c r="B9" s="11">
        <f t="shared" si="0"/>
        <v>1.5309000000000004E-4</v>
      </c>
      <c r="C9" s="9" t="s">
        <v>40</v>
      </c>
    </row>
    <row r="10" spans="1:3" ht="15" thickBot="1" x14ac:dyDescent="0.35">
      <c r="A10" s="11">
        <v>8</v>
      </c>
      <c r="B10" s="11">
        <f t="shared" si="0"/>
        <v>4.5927000000000043E-5</v>
      </c>
      <c r="C10" s="9" t="s">
        <v>41</v>
      </c>
    </row>
    <row r="11" spans="1:3" ht="15" thickBot="1" x14ac:dyDescent="0.35">
      <c r="A11" s="11">
        <v>9</v>
      </c>
      <c r="B11" s="11">
        <f t="shared" si="0"/>
        <v>1.3778100000000013E-5</v>
      </c>
      <c r="C11" s="9" t="s">
        <v>42</v>
      </c>
    </row>
    <row r="12" spans="1:3" ht="15" thickBot="1" x14ac:dyDescent="0.35">
      <c r="A12" s="11">
        <v>10</v>
      </c>
      <c r="B12" s="11">
        <f t="shared" si="0"/>
        <v>4.1334300000000047E-6</v>
      </c>
      <c r="C12" s="9" t="s">
        <v>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D3AE-E659-484C-9382-B490762FD2F2}">
  <dimension ref="A1:B7"/>
  <sheetViews>
    <sheetView zoomScaleNormal="100" workbookViewId="0">
      <selection activeCell="O20" sqref="O20"/>
    </sheetView>
  </sheetViews>
  <sheetFormatPr defaultRowHeight="14.4" x14ac:dyDescent="0.3"/>
  <cols>
    <col min="1" max="1" width="12.33203125" customWidth="1"/>
    <col min="2" max="2" width="13.33203125" customWidth="1"/>
  </cols>
  <sheetData>
    <row r="1" spans="1:2" ht="30" customHeight="1" thickBot="1" x14ac:dyDescent="0.35">
      <c r="A1" s="9" t="s">
        <v>45</v>
      </c>
      <c r="B1" s="9" t="s">
        <v>1</v>
      </c>
    </row>
    <row r="2" spans="1:2" ht="15" thickBot="1" x14ac:dyDescent="0.35">
      <c r="A2" s="11">
        <v>1</v>
      </c>
      <c r="B2" s="11">
        <v>0.16666666669999999</v>
      </c>
    </row>
    <row r="3" spans="1:2" ht="15" thickBot="1" x14ac:dyDescent="0.35">
      <c r="A3" s="11">
        <v>2</v>
      </c>
      <c r="B3" s="11">
        <v>0.16666666669999999</v>
      </c>
    </row>
    <row r="4" spans="1:2" ht="15" thickBot="1" x14ac:dyDescent="0.35">
      <c r="A4" s="11">
        <v>3</v>
      </c>
      <c r="B4" s="11">
        <v>0.16666666669999999</v>
      </c>
    </row>
    <row r="5" spans="1:2" ht="15" thickBot="1" x14ac:dyDescent="0.35">
      <c r="A5" s="11">
        <v>4</v>
      </c>
      <c r="B5" s="11">
        <v>0.16666666669999999</v>
      </c>
    </row>
    <row r="6" spans="1:2" ht="15" thickBot="1" x14ac:dyDescent="0.35">
      <c r="A6" s="11">
        <v>5</v>
      </c>
      <c r="B6" s="11">
        <v>0.16666666669999999</v>
      </c>
    </row>
    <row r="7" spans="1:2" ht="15" thickBot="1" x14ac:dyDescent="0.35">
      <c r="A7" s="11">
        <v>6</v>
      </c>
      <c r="B7" s="11">
        <v>0.16666666669999999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309E-2C54-4548-B102-E7ADE72D6A53}">
  <dimension ref="A1:B32"/>
  <sheetViews>
    <sheetView zoomScale="70" zoomScaleNormal="70" workbookViewId="0">
      <selection activeCell="AC36" sqref="AC36"/>
    </sheetView>
  </sheetViews>
  <sheetFormatPr defaultRowHeight="14.4" x14ac:dyDescent="0.3"/>
  <cols>
    <col min="1" max="1" width="16.33203125" customWidth="1"/>
    <col min="2" max="2" width="20.109375" customWidth="1"/>
  </cols>
  <sheetData>
    <row r="1" spans="1:2" ht="28.8" customHeight="1" thickBot="1" x14ac:dyDescent="0.35">
      <c r="A1" s="9" t="s">
        <v>46</v>
      </c>
      <c r="B1" s="10" t="s">
        <v>47</v>
      </c>
    </row>
    <row r="2" spans="1:2" ht="15" thickBot="1" x14ac:dyDescent="0.35">
      <c r="A2" s="11">
        <v>0</v>
      </c>
      <c r="B2" s="11">
        <f>_xlfn.EXPON.DIST(A2, 0.5, FALSE)</f>
        <v>0.5</v>
      </c>
    </row>
    <row r="3" spans="1:2" ht="15" thickBot="1" x14ac:dyDescent="0.35">
      <c r="A3">
        <f>(A2+0.5)</f>
        <v>0.5</v>
      </c>
      <c r="B3" s="11">
        <f t="shared" ref="B3:B32" si="0">_xlfn.EXPON.DIST(A3, 0.5, FALSE)</f>
        <v>0.38940039153570244</v>
      </c>
    </row>
    <row r="4" spans="1:2" ht="15" thickBot="1" x14ac:dyDescent="0.35">
      <c r="A4">
        <f t="shared" ref="A4:A32" si="1">(A3+0.5)</f>
        <v>1</v>
      </c>
      <c r="B4" s="11">
        <f t="shared" si="0"/>
        <v>0.30326532985631671</v>
      </c>
    </row>
    <row r="5" spans="1:2" ht="15" thickBot="1" x14ac:dyDescent="0.35">
      <c r="A5">
        <f t="shared" si="1"/>
        <v>1.5</v>
      </c>
      <c r="B5" s="11">
        <f t="shared" si="0"/>
        <v>0.23618327637050734</v>
      </c>
    </row>
    <row r="6" spans="1:2" ht="15" thickBot="1" x14ac:dyDescent="0.35">
      <c r="A6">
        <f t="shared" si="1"/>
        <v>2</v>
      </c>
      <c r="B6" s="11">
        <f t="shared" si="0"/>
        <v>0.18393972058572117</v>
      </c>
    </row>
    <row r="7" spans="1:2" ht="15" thickBot="1" x14ac:dyDescent="0.35">
      <c r="A7">
        <f t="shared" si="1"/>
        <v>2.5</v>
      </c>
      <c r="B7" s="11">
        <f t="shared" si="0"/>
        <v>0.14325239843009505</v>
      </c>
    </row>
    <row r="8" spans="1:2" ht="15" thickBot="1" x14ac:dyDescent="0.35">
      <c r="A8">
        <f t="shared" si="1"/>
        <v>3</v>
      </c>
      <c r="B8" s="11">
        <f t="shared" si="0"/>
        <v>0.11156508007421491</v>
      </c>
    </row>
    <row r="9" spans="1:2" ht="15" thickBot="1" x14ac:dyDescent="0.35">
      <c r="A9">
        <f t="shared" si="1"/>
        <v>3.5</v>
      </c>
      <c r="B9" s="11">
        <f t="shared" si="0"/>
        <v>8.688697172522257E-2</v>
      </c>
    </row>
    <row r="10" spans="1:2" ht="15" thickBot="1" x14ac:dyDescent="0.35">
      <c r="A10">
        <f t="shared" si="1"/>
        <v>4</v>
      </c>
      <c r="B10" s="11">
        <f t="shared" si="0"/>
        <v>6.7667641618306351E-2</v>
      </c>
    </row>
    <row r="11" spans="1:2" ht="15" thickBot="1" x14ac:dyDescent="0.35">
      <c r="A11">
        <f t="shared" si="1"/>
        <v>4.5</v>
      </c>
      <c r="B11" s="11">
        <f t="shared" si="0"/>
        <v>5.2699612280932166E-2</v>
      </c>
    </row>
    <row r="12" spans="1:2" ht="15" thickBot="1" x14ac:dyDescent="0.35">
      <c r="A12">
        <f t="shared" si="1"/>
        <v>5</v>
      </c>
      <c r="B12" s="11">
        <f t="shared" si="0"/>
        <v>4.10424993119494E-2</v>
      </c>
    </row>
    <row r="13" spans="1:2" ht="15" thickBot="1" x14ac:dyDescent="0.35">
      <c r="A13">
        <f t="shared" si="1"/>
        <v>5.5</v>
      </c>
      <c r="B13" s="11">
        <f t="shared" si="0"/>
        <v>3.1963930603353785E-2</v>
      </c>
    </row>
    <row r="14" spans="1:2" ht="15" thickBot="1" x14ac:dyDescent="0.35">
      <c r="A14">
        <f t="shared" si="1"/>
        <v>6</v>
      </c>
      <c r="B14" s="11">
        <f t="shared" si="0"/>
        <v>2.4893534183931972E-2</v>
      </c>
    </row>
    <row r="15" spans="1:2" ht="15" thickBot="1" x14ac:dyDescent="0.35">
      <c r="A15">
        <f t="shared" si="1"/>
        <v>6.5</v>
      </c>
      <c r="B15" s="11">
        <f t="shared" si="0"/>
        <v>1.9387103915861004E-2</v>
      </c>
    </row>
    <row r="16" spans="1:2" ht="15" thickBot="1" x14ac:dyDescent="0.35">
      <c r="A16">
        <f t="shared" si="1"/>
        <v>7</v>
      </c>
      <c r="B16" s="11">
        <f t="shared" si="0"/>
        <v>1.509869171115925E-2</v>
      </c>
    </row>
    <row r="17" spans="1:2" ht="15" thickBot="1" x14ac:dyDescent="0.35">
      <c r="A17">
        <f t="shared" si="1"/>
        <v>7.5</v>
      </c>
      <c r="B17" s="11">
        <f t="shared" si="0"/>
        <v>1.1758872928004553E-2</v>
      </c>
    </row>
    <row r="18" spans="1:2" ht="15" thickBot="1" x14ac:dyDescent="0.35">
      <c r="A18">
        <f t="shared" si="1"/>
        <v>8</v>
      </c>
      <c r="B18" s="11">
        <f t="shared" si="0"/>
        <v>9.1578194443670893E-3</v>
      </c>
    </row>
    <row r="19" spans="1:2" ht="15" thickBot="1" x14ac:dyDescent="0.35">
      <c r="A19">
        <f t="shared" si="1"/>
        <v>8.5</v>
      </c>
      <c r="B19" s="11">
        <f t="shared" si="0"/>
        <v>7.1321169544996278E-3</v>
      </c>
    </row>
    <row r="20" spans="1:2" ht="15" thickBot="1" x14ac:dyDescent="0.35">
      <c r="A20">
        <f t="shared" si="1"/>
        <v>9</v>
      </c>
      <c r="B20" s="11">
        <f t="shared" si="0"/>
        <v>5.554498269121153E-3</v>
      </c>
    </row>
    <row r="21" spans="1:2" ht="15" thickBot="1" x14ac:dyDescent="0.35">
      <c r="A21">
        <f t="shared" si="1"/>
        <v>9.5</v>
      </c>
      <c r="B21" s="11">
        <f t="shared" si="0"/>
        <v>4.325847601560317E-3</v>
      </c>
    </row>
    <row r="22" spans="1:2" ht="15" thickBot="1" x14ac:dyDescent="0.35">
      <c r="A22">
        <f t="shared" si="1"/>
        <v>10</v>
      </c>
      <c r="B22" s="11">
        <f t="shared" si="0"/>
        <v>3.3689734995427335E-3</v>
      </c>
    </row>
    <row r="23" spans="1:2" ht="15" thickBot="1" x14ac:dyDescent="0.35">
      <c r="A23">
        <f t="shared" si="1"/>
        <v>10.5</v>
      </c>
      <c r="B23" s="11">
        <f t="shared" si="0"/>
        <v>2.6237591995906923E-3</v>
      </c>
    </row>
    <row r="24" spans="1:2" ht="15" thickBot="1" x14ac:dyDescent="0.35">
      <c r="A24">
        <f>(A23+0.5)</f>
        <v>11</v>
      </c>
      <c r="B24" s="11">
        <f t="shared" si="0"/>
        <v>2.0433857192320333E-3</v>
      </c>
    </row>
    <row r="25" spans="1:2" ht="15" thickBot="1" x14ac:dyDescent="0.35">
      <c r="A25">
        <f t="shared" si="1"/>
        <v>11.5</v>
      </c>
      <c r="B25" s="11">
        <f t="shared" si="0"/>
        <v>1.5913903982548334E-3</v>
      </c>
    </row>
    <row r="26" spans="1:2" ht="15" thickBot="1" x14ac:dyDescent="0.35">
      <c r="A26">
        <f t="shared" si="1"/>
        <v>12</v>
      </c>
      <c r="B26" s="11">
        <f t="shared" si="0"/>
        <v>1.2393760883331792E-3</v>
      </c>
    </row>
    <row r="27" spans="1:2" ht="15" thickBot="1" x14ac:dyDescent="0.35">
      <c r="A27">
        <f t="shared" si="1"/>
        <v>12.5</v>
      </c>
      <c r="B27" s="11">
        <f t="shared" si="0"/>
        <v>9.6522706811385465E-4</v>
      </c>
    </row>
    <row r="28" spans="1:2" ht="15" thickBot="1" x14ac:dyDescent="0.35">
      <c r="A28">
        <f t="shared" si="1"/>
        <v>13</v>
      </c>
      <c r="B28" s="11">
        <f t="shared" si="0"/>
        <v>7.5171959648878618E-4</v>
      </c>
    </row>
    <row r="29" spans="1:2" ht="15" thickBot="1" x14ac:dyDescent="0.35">
      <c r="A29">
        <f t="shared" si="1"/>
        <v>13.5</v>
      </c>
      <c r="B29" s="11">
        <f t="shared" si="0"/>
        <v>5.8543981039558721E-4</v>
      </c>
    </row>
    <row r="30" spans="1:2" ht="15" thickBot="1" x14ac:dyDescent="0.35">
      <c r="A30">
        <f t="shared" si="1"/>
        <v>14</v>
      </c>
      <c r="B30" s="11">
        <f t="shared" si="0"/>
        <v>4.5594098277725812E-4</v>
      </c>
    </row>
    <row r="31" spans="1:2" ht="15" thickBot="1" x14ac:dyDescent="0.35">
      <c r="A31">
        <f t="shared" si="1"/>
        <v>14.5</v>
      </c>
      <c r="B31" s="11">
        <f t="shared" si="0"/>
        <v>3.5508719442127451E-4</v>
      </c>
    </row>
    <row r="32" spans="1:2" ht="15" thickBot="1" x14ac:dyDescent="0.35">
      <c r="A32">
        <f t="shared" si="1"/>
        <v>15</v>
      </c>
      <c r="B32" s="11">
        <f t="shared" si="0"/>
        <v>2.7654218507391681E-4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6A92-DCD6-4C2C-967A-989ECB7A78F2}">
  <dimension ref="A1:B52"/>
  <sheetViews>
    <sheetView zoomScaleNormal="100" workbookViewId="0">
      <selection activeCell="R27" sqref="R27"/>
    </sheetView>
  </sheetViews>
  <sheetFormatPr defaultRowHeight="14.4" x14ac:dyDescent="0.3"/>
  <cols>
    <col min="1" max="1" width="12.6640625" customWidth="1"/>
    <col min="2" max="2" width="19.109375" customWidth="1"/>
  </cols>
  <sheetData>
    <row r="1" spans="1:2" x14ac:dyDescent="0.3">
      <c r="A1" t="s">
        <v>48</v>
      </c>
      <c r="B1" t="s">
        <v>47</v>
      </c>
    </row>
    <row r="2" spans="1:2" x14ac:dyDescent="0.3">
      <c r="A2">
        <v>150</v>
      </c>
      <c r="B2">
        <f>_xlfn.NORM.DIST(A2, 175, 7, FALSE)</f>
        <v>9.6844912161810965E-5</v>
      </c>
    </row>
    <row r="3" spans="1:2" x14ac:dyDescent="0.3">
      <c r="A3">
        <f xml:space="preserve"> A2 +1</f>
        <v>151</v>
      </c>
      <c r="B3">
        <f t="shared" ref="B3:B52" si="0">_xlfn.NORM.DIST(A3, 175, 7, FALSE)</f>
        <v>1.5967026664026341E-4</v>
      </c>
    </row>
    <row r="4" spans="1:2" x14ac:dyDescent="0.3">
      <c r="A4">
        <f t="shared" ref="A4:A52" si="1" xml:space="preserve"> A3 +1</f>
        <v>152</v>
      </c>
      <c r="B4">
        <f t="shared" si="0"/>
        <v>2.5793373014666569E-4</v>
      </c>
    </row>
    <row r="5" spans="1:2" x14ac:dyDescent="0.3">
      <c r="A5">
        <f t="shared" si="1"/>
        <v>153</v>
      </c>
      <c r="B5">
        <f t="shared" si="0"/>
        <v>4.0825270819644502E-4</v>
      </c>
    </row>
    <row r="6" spans="1:2" x14ac:dyDescent="0.3">
      <c r="A6">
        <f t="shared" si="1"/>
        <v>154</v>
      </c>
      <c r="B6">
        <f t="shared" si="0"/>
        <v>6.3312120170542965E-4</v>
      </c>
    </row>
    <row r="7" spans="1:2" x14ac:dyDescent="0.3">
      <c r="A7">
        <f t="shared" si="1"/>
        <v>155</v>
      </c>
      <c r="B7">
        <f t="shared" si="0"/>
        <v>9.6201421074717749E-4</v>
      </c>
    </row>
    <row r="8" spans="1:2" x14ac:dyDescent="0.3">
      <c r="A8">
        <f t="shared" si="1"/>
        <v>156</v>
      </c>
      <c r="B8">
        <f t="shared" si="0"/>
        <v>1.4322306547697795E-3</v>
      </c>
    </row>
    <row r="9" spans="1:2" x14ac:dyDescent="0.3">
      <c r="A9">
        <f t="shared" si="1"/>
        <v>157</v>
      </c>
      <c r="B9">
        <f t="shared" si="0"/>
        <v>2.0892061217045723E-3</v>
      </c>
    </row>
    <row r="10" spans="1:2" x14ac:dyDescent="0.3">
      <c r="A10">
        <f t="shared" si="1"/>
        <v>158</v>
      </c>
      <c r="B10">
        <f t="shared" si="0"/>
        <v>2.9859770251128835E-3</v>
      </c>
    </row>
    <row r="11" spans="1:2" x14ac:dyDescent="0.3">
      <c r="A11">
        <f t="shared" si="1"/>
        <v>159</v>
      </c>
      <c r="B11">
        <f t="shared" si="0"/>
        <v>4.1814651470229672E-3</v>
      </c>
    </row>
    <row r="12" spans="1:2" x14ac:dyDescent="0.3">
      <c r="A12">
        <f t="shared" si="1"/>
        <v>160</v>
      </c>
      <c r="B12">
        <f t="shared" si="0"/>
        <v>5.737297205843303E-3</v>
      </c>
    </row>
    <row r="13" spans="1:2" x14ac:dyDescent="0.3">
      <c r="A13">
        <f t="shared" si="1"/>
        <v>161</v>
      </c>
      <c r="B13">
        <f t="shared" si="0"/>
        <v>7.712995216169723E-3</v>
      </c>
    </row>
    <row r="14" spans="1:2" x14ac:dyDescent="0.3">
      <c r="A14">
        <f t="shared" si="1"/>
        <v>162</v>
      </c>
      <c r="B14">
        <f t="shared" si="0"/>
        <v>1.0159576932727636E-2</v>
      </c>
    </row>
    <row r="15" spans="1:2" x14ac:dyDescent="0.3">
      <c r="A15">
        <f t="shared" si="1"/>
        <v>163</v>
      </c>
      <c r="B15">
        <f t="shared" si="0"/>
        <v>1.3111881994872581E-2</v>
      </c>
    </row>
    <row r="16" spans="1:2" x14ac:dyDescent="0.3">
      <c r="A16">
        <f t="shared" si="1"/>
        <v>164</v>
      </c>
      <c r="B16">
        <f t="shared" si="0"/>
        <v>1.6580258143722392E-2</v>
      </c>
    </row>
    <row r="17" spans="1:2" x14ac:dyDescent="0.3">
      <c r="A17">
        <f t="shared" si="1"/>
        <v>165</v>
      </c>
      <c r="B17">
        <f t="shared" si="0"/>
        <v>2.054255182126689E-2</v>
      </c>
    </row>
    <row r="18" spans="1:2" x14ac:dyDescent="0.3">
      <c r="A18">
        <f t="shared" si="1"/>
        <v>166</v>
      </c>
      <c r="B18">
        <f t="shared" si="0"/>
        <v>2.493758204020002E-2</v>
      </c>
    </row>
    <row r="19" spans="1:2" x14ac:dyDescent="0.3">
      <c r="A19">
        <f t="shared" si="1"/>
        <v>167</v>
      </c>
      <c r="B19">
        <f t="shared" si="0"/>
        <v>2.9661365445028648E-2</v>
      </c>
    </row>
    <row r="20" spans="1:2" x14ac:dyDescent="0.3">
      <c r="A20">
        <f t="shared" si="1"/>
        <v>168</v>
      </c>
      <c r="B20">
        <f t="shared" si="0"/>
        <v>3.4567246359877624E-2</v>
      </c>
    </row>
    <row r="21" spans="1:2" x14ac:dyDescent="0.3">
      <c r="A21">
        <f t="shared" si="1"/>
        <v>169</v>
      </c>
      <c r="B21">
        <f t="shared" si="0"/>
        <v>3.9470740790642965E-2</v>
      </c>
    </row>
    <row r="22" spans="1:2" x14ac:dyDescent="0.3">
      <c r="A22">
        <f t="shared" si="1"/>
        <v>170</v>
      </c>
      <c r="B22">
        <f t="shared" si="0"/>
        <v>4.4159344402723774E-2</v>
      </c>
    </row>
    <row r="23" spans="1:2" x14ac:dyDescent="0.3">
      <c r="A23">
        <f t="shared" si="1"/>
        <v>171</v>
      </c>
      <c r="B23">
        <f t="shared" si="0"/>
        <v>4.8406847965255365E-2</v>
      </c>
    </row>
    <row r="24" spans="1:2" x14ac:dyDescent="0.3">
      <c r="A24">
        <f t="shared" si="1"/>
        <v>172</v>
      </c>
      <c r="B24">
        <f t="shared" si="0"/>
        <v>5.1990960245069093E-2</v>
      </c>
    </row>
    <row r="25" spans="1:2" x14ac:dyDescent="0.3">
      <c r="A25">
        <f t="shared" si="1"/>
        <v>173</v>
      </c>
      <c r="B25">
        <f t="shared" si="0"/>
        <v>5.4712394277744596E-2</v>
      </c>
    </row>
    <row r="26" spans="1:2" x14ac:dyDescent="0.3">
      <c r="A26">
        <f t="shared" si="1"/>
        <v>174</v>
      </c>
      <c r="B26">
        <f t="shared" si="0"/>
        <v>5.6413162847180141E-2</v>
      </c>
    </row>
    <row r="27" spans="1:2" x14ac:dyDescent="0.3">
      <c r="A27">
        <f t="shared" si="1"/>
        <v>175</v>
      </c>
      <c r="B27">
        <f t="shared" si="0"/>
        <v>5.6991754343061814E-2</v>
      </c>
    </row>
    <row r="28" spans="1:2" x14ac:dyDescent="0.3">
      <c r="A28">
        <f t="shared" si="1"/>
        <v>176</v>
      </c>
      <c r="B28">
        <f t="shared" si="0"/>
        <v>5.6413162847180141E-2</v>
      </c>
    </row>
    <row r="29" spans="1:2" x14ac:dyDescent="0.3">
      <c r="A29">
        <f t="shared" si="1"/>
        <v>177</v>
      </c>
      <c r="B29">
        <f t="shared" si="0"/>
        <v>5.4712394277744596E-2</v>
      </c>
    </row>
    <row r="30" spans="1:2" x14ac:dyDescent="0.3">
      <c r="A30">
        <f t="shared" si="1"/>
        <v>178</v>
      </c>
      <c r="B30">
        <f t="shared" si="0"/>
        <v>5.1990960245069093E-2</v>
      </c>
    </row>
    <row r="31" spans="1:2" x14ac:dyDescent="0.3">
      <c r="A31">
        <f t="shared" si="1"/>
        <v>179</v>
      </c>
      <c r="B31">
        <f t="shared" si="0"/>
        <v>4.8406847965255365E-2</v>
      </c>
    </row>
    <row r="32" spans="1:2" x14ac:dyDescent="0.3">
      <c r="A32">
        <f t="shared" si="1"/>
        <v>180</v>
      </c>
      <c r="B32">
        <f t="shared" si="0"/>
        <v>4.4159344402723774E-2</v>
      </c>
    </row>
    <row r="33" spans="1:2" x14ac:dyDescent="0.3">
      <c r="A33">
        <f t="shared" si="1"/>
        <v>181</v>
      </c>
      <c r="B33">
        <f t="shared" si="0"/>
        <v>3.9470740790642965E-2</v>
      </c>
    </row>
    <row r="34" spans="1:2" x14ac:dyDescent="0.3">
      <c r="A34">
        <f t="shared" si="1"/>
        <v>182</v>
      </c>
      <c r="B34">
        <f t="shared" si="0"/>
        <v>3.4567246359877624E-2</v>
      </c>
    </row>
    <row r="35" spans="1:2" x14ac:dyDescent="0.3">
      <c r="A35">
        <f t="shared" si="1"/>
        <v>183</v>
      </c>
      <c r="B35">
        <f t="shared" si="0"/>
        <v>2.9661365445028648E-2</v>
      </c>
    </row>
    <row r="36" spans="1:2" x14ac:dyDescent="0.3">
      <c r="A36">
        <f t="shared" si="1"/>
        <v>184</v>
      </c>
      <c r="B36">
        <f t="shared" si="0"/>
        <v>2.493758204020002E-2</v>
      </c>
    </row>
    <row r="37" spans="1:2" x14ac:dyDescent="0.3">
      <c r="A37">
        <f t="shared" si="1"/>
        <v>185</v>
      </c>
      <c r="B37">
        <f t="shared" si="0"/>
        <v>2.054255182126689E-2</v>
      </c>
    </row>
    <row r="38" spans="1:2" x14ac:dyDescent="0.3">
      <c r="A38">
        <f t="shared" si="1"/>
        <v>186</v>
      </c>
      <c r="B38">
        <f t="shared" si="0"/>
        <v>1.6580258143722392E-2</v>
      </c>
    </row>
    <row r="39" spans="1:2" x14ac:dyDescent="0.3">
      <c r="A39">
        <f t="shared" si="1"/>
        <v>187</v>
      </c>
      <c r="B39">
        <f t="shared" si="0"/>
        <v>1.3111881994872581E-2</v>
      </c>
    </row>
    <row r="40" spans="1:2" x14ac:dyDescent="0.3">
      <c r="A40">
        <f t="shared" si="1"/>
        <v>188</v>
      </c>
      <c r="B40">
        <f t="shared" si="0"/>
        <v>1.0159576932727636E-2</v>
      </c>
    </row>
    <row r="41" spans="1:2" x14ac:dyDescent="0.3">
      <c r="A41">
        <f t="shared" si="1"/>
        <v>189</v>
      </c>
      <c r="B41">
        <f t="shared" si="0"/>
        <v>7.712995216169723E-3</v>
      </c>
    </row>
    <row r="42" spans="1:2" x14ac:dyDescent="0.3">
      <c r="A42">
        <f t="shared" si="1"/>
        <v>190</v>
      </c>
      <c r="B42">
        <f t="shared" si="0"/>
        <v>5.737297205843303E-3</v>
      </c>
    </row>
    <row r="43" spans="1:2" x14ac:dyDescent="0.3">
      <c r="A43">
        <f t="shared" si="1"/>
        <v>191</v>
      </c>
      <c r="B43">
        <f t="shared" si="0"/>
        <v>4.1814651470229672E-3</v>
      </c>
    </row>
    <row r="44" spans="1:2" x14ac:dyDescent="0.3">
      <c r="A44">
        <f t="shared" si="1"/>
        <v>192</v>
      </c>
      <c r="B44">
        <f t="shared" si="0"/>
        <v>2.9859770251128835E-3</v>
      </c>
    </row>
    <row r="45" spans="1:2" x14ac:dyDescent="0.3">
      <c r="A45">
        <f t="shared" si="1"/>
        <v>193</v>
      </c>
      <c r="B45">
        <f t="shared" si="0"/>
        <v>2.0892061217045723E-3</v>
      </c>
    </row>
    <row r="46" spans="1:2" x14ac:dyDescent="0.3">
      <c r="A46">
        <f t="shared" si="1"/>
        <v>194</v>
      </c>
      <c r="B46">
        <f t="shared" si="0"/>
        <v>1.4322306547697795E-3</v>
      </c>
    </row>
    <row r="47" spans="1:2" x14ac:dyDescent="0.3">
      <c r="A47">
        <f t="shared" si="1"/>
        <v>195</v>
      </c>
      <c r="B47">
        <f t="shared" si="0"/>
        <v>9.6201421074717749E-4</v>
      </c>
    </row>
    <row r="48" spans="1:2" x14ac:dyDescent="0.3">
      <c r="A48">
        <f t="shared" si="1"/>
        <v>196</v>
      </c>
      <c r="B48">
        <f t="shared" si="0"/>
        <v>6.3312120170542965E-4</v>
      </c>
    </row>
    <row r="49" spans="1:2" x14ac:dyDescent="0.3">
      <c r="A49">
        <f t="shared" si="1"/>
        <v>197</v>
      </c>
      <c r="B49">
        <f t="shared" si="0"/>
        <v>4.0825270819644502E-4</v>
      </c>
    </row>
    <row r="50" spans="1:2" x14ac:dyDescent="0.3">
      <c r="A50">
        <f t="shared" si="1"/>
        <v>198</v>
      </c>
      <c r="B50">
        <f t="shared" si="0"/>
        <v>2.5793373014666569E-4</v>
      </c>
    </row>
    <row r="51" spans="1:2" x14ac:dyDescent="0.3">
      <c r="A51">
        <f xml:space="preserve"> A50 +1</f>
        <v>199</v>
      </c>
      <c r="B51">
        <f t="shared" si="0"/>
        <v>1.5967026664026341E-4</v>
      </c>
    </row>
    <row r="52" spans="1:2" x14ac:dyDescent="0.3">
      <c r="A52">
        <f t="shared" si="1"/>
        <v>200</v>
      </c>
      <c r="B52">
        <f t="shared" si="0"/>
        <v>9.6844912161810965E-5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15EE-4C45-45A0-86EA-A9C524B16242}">
  <dimension ref="A1:E11"/>
  <sheetViews>
    <sheetView zoomScaleNormal="100" workbookViewId="0">
      <selection activeCell="Q8" sqref="Q8"/>
    </sheetView>
  </sheetViews>
  <sheetFormatPr defaultRowHeight="14.4" x14ac:dyDescent="0.3"/>
  <cols>
    <col min="1" max="1" width="10.77734375" customWidth="1"/>
    <col min="2" max="2" width="15.33203125" customWidth="1"/>
    <col min="3" max="3" width="15" customWidth="1"/>
    <col min="4" max="4" width="17.77734375" customWidth="1"/>
    <col min="5" max="5" width="20.109375" customWidth="1"/>
  </cols>
  <sheetData>
    <row r="1" spans="1:5" ht="25.2" customHeight="1" thickBot="1" x14ac:dyDescent="0.35">
      <c r="A1" s="9" t="s">
        <v>49</v>
      </c>
      <c r="B1" s="9" t="s">
        <v>50</v>
      </c>
      <c r="C1" s="9" t="s">
        <v>51</v>
      </c>
      <c r="D1" s="13"/>
    </row>
    <row r="2" spans="1:5" ht="15" thickBot="1" x14ac:dyDescent="0.35">
      <c r="A2" s="11">
        <v>1</v>
      </c>
      <c r="B2" s="11">
        <v>2</v>
      </c>
      <c r="C2" s="11">
        <v>65</v>
      </c>
    </row>
    <row r="3" spans="1:5" ht="16.8" customHeight="1" thickBot="1" x14ac:dyDescent="0.35">
      <c r="A3" s="11">
        <v>2</v>
      </c>
      <c r="B3" s="11">
        <v>5</v>
      </c>
      <c r="C3" s="11">
        <v>80</v>
      </c>
      <c r="E3" s="13" t="s">
        <v>52</v>
      </c>
    </row>
    <row r="4" spans="1:5" ht="15" thickBot="1" x14ac:dyDescent="0.35">
      <c r="A4" s="11">
        <v>3</v>
      </c>
      <c r="B4" s="11">
        <v>1</v>
      </c>
      <c r="C4" s="11">
        <v>50</v>
      </c>
      <c r="E4">
        <f>_xlfn.COVARIANCE.S( B2:B11, C2:C11)</f>
        <v>39.222222222222229</v>
      </c>
    </row>
    <row r="5" spans="1:5" ht="15" thickBot="1" x14ac:dyDescent="0.35">
      <c r="A5" s="11">
        <v>4</v>
      </c>
      <c r="B5" s="11">
        <v>8</v>
      </c>
      <c r="C5" s="11">
        <v>90</v>
      </c>
    </row>
    <row r="6" spans="1:5" ht="15" thickBot="1" x14ac:dyDescent="0.35">
      <c r="A6" s="11">
        <v>5</v>
      </c>
      <c r="B6" s="11">
        <v>4</v>
      </c>
      <c r="C6" s="11">
        <v>75</v>
      </c>
    </row>
    <row r="7" spans="1:5" ht="15" thickBot="1" x14ac:dyDescent="0.35">
      <c r="A7" s="11">
        <v>6</v>
      </c>
      <c r="B7" s="11">
        <v>6</v>
      </c>
      <c r="C7" s="11">
        <v>85</v>
      </c>
    </row>
    <row r="8" spans="1:5" ht="15" thickBot="1" x14ac:dyDescent="0.35">
      <c r="A8" s="11">
        <v>7</v>
      </c>
      <c r="B8" s="11">
        <v>3</v>
      </c>
      <c r="C8" s="11">
        <v>70</v>
      </c>
    </row>
    <row r="9" spans="1:5" ht="15" thickBot="1" x14ac:dyDescent="0.35">
      <c r="A9" s="11">
        <v>8</v>
      </c>
      <c r="B9" s="11">
        <v>7</v>
      </c>
      <c r="C9" s="11">
        <v>88</v>
      </c>
    </row>
    <row r="10" spans="1:5" ht="15" thickBot="1" x14ac:dyDescent="0.35">
      <c r="A10" s="11">
        <v>9</v>
      </c>
      <c r="B10" s="11">
        <v>0</v>
      </c>
      <c r="C10" s="11">
        <v>45</v>
      </c>
    </row>
    <row r="11" spans="1:5" ht="15" thickBot="1" x14ac:dyDescent="0.35">
      <c r="A11" s="11">
        <v>10</v>
      </c>
      <c r="B11" s="11">
        <v>5</v>
      </c>
      <c r="C11" s="11">
        <v>82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E5D1-7A0A-4671-A024-FA3353EBD9D4}">
  <dimension ref="A1:C11"/>
  <sheetViews>
    <sheetView tabSelected="1" workbookViewId="0">
      <selection activeCell="C16" sqref="C16"/>
    </sheetView>
  </sheetViews>
  <sheetFormatPr defaultRowHeight="14.4" x14ac:dyDescent="0.3"/>
  <cols>
    <col min="1" max="1" width="19.109375" customWidth="1"/>
    <col min="3" max="3" width="26.33203125" customWidth="1"/>
  </cols>
  <sheetData>
    <row r="1" spans="1:3" ht="56.4" customHeight="1" x14ac:dyDescent="0.3">
      <c r="A1" s="14" t="s">
        <v>53</v>
      </c>
      <c r="C1" s="15" t="s">
        <v>54</v>
      </c>
    </row>
    <row r="2" spans="1:3" x14ac:dyDescent="0.3">
      <c r="A2" s="8">
        <f ca="1" xml:space="preserve"> 50 + (100 - 50) * RAND()</f>
        <v>61.010557176380566</v>
      </c>
      <c r="C2" s="8">
        <f ca="1" xml:space="preserve"> _xlfn.NORM.INV(RAND(), 175, 7)</f>
        <v>171.53601141485825</v>
      </c>
    </row>
    <row r="3" spans="1:3" x14ac:dyDescent="0.3">
      <c r="A3" s="8">
        <f t="shared" ref="A3:A11" ca="1" si="0" xml:space="preserve"> 50 + (100 - 50) * RAND()</f>
        <v>77.312818247296917</v>
      </c>
      <c r="C3" s="8">
        <f t="shared" ref="C3:C11" ca="1" si="1" xml:space="preserve"> _xlfn.NORM.INV(RAND(), 175, 7)</f>
        <v>175.83489910730606</v>
      </c>
    </row>
    <row r="4" spans="1:3" x14ac:dyDescent="0.3">
      <c r="A4" s="8">
        <f t="shared" ca="1" si="0"/>
        <v>96.258145305313093</v>
      </c>
      <c r="C4" s="8">
        <f t="shared" ca="1" si="1"/>
        <v>170.99271799614496</v>
      </c>
    </row>
    <row r="5" spans="1:3" x14ac:dyDescent="0.3">
      <c r="A5" s="8">
        <f t="shared" ca="1" si="0"/>
        <v>74.0751935320462</v>
      </c>
      <c r="C5" s="8">
        <f t="shared" ca="1" si="1"/>
        <v>179.41248060473504</v>
      </c>
    </row>
    <row r="6" spans="1:3" x14ac:dyDescent="0.3">
      <c r="A6" s="8">
        <f t="shared" ca="1" si="0"/>
        <v>82.814890376945897</v>
      </c>
      <c r="C6" s="8">
        <f t="shared" ca="1" si="1"/>
        <v>173.19718101730891</v>
      </c>
    </row>
    <row r="7" spans="1:3" x14ac:dyDescent="0.3">
      <c r="A7" s="8">
        <f t="shared" ca="1" si="0"/>
        <v>82.964961868860769</v>
      </c>
      <c r="C7" s="8">
        <f t="shared" ca="1" si="1"/>
        <v>184.18157078389063</v>
      </c>
    </row>
    <row r="8" spans="1:3" x14ac:dyDescent="0.3">
      <c r="A8" s="8">
        <f t="shared" ca="1" si="0"/>
        <v>97.34077473485938</v>
      </c>
      <c r="C8" s="8">
        <f t="shared" ca="1" si="1"/>
        <v>176.1129549544975</v>
      </c>
    </row>
    <row r="9" spans="1:3" x14ac:dyDescent="0.3">
      <c r="A9" s="8">
        <f t="shared" ca="1" si="0"/>
        <v>58.969928639816324</v>
      </c>
      <c r="C9" s="8">
        <f t="shared" ca="1" si="1"/>
        <v>190.05410461165505</v>
      </c>
    </row>
    <row r="10" spans="1:3" x14ac:dyDescent="0.3">
      <c r="A10" s="8">
        <f t="shared" ca="1" si="0"/>
        <v>77.446554029245362</v>
      </c>
      <c r="C10" s="8">
        <f t="shared" ca="1" si="1"/>
        <v>173.86357299779081</v>
      </c>
    </row>
    <row r="11" spans="1:3" x14ac:dyDescent="0.3">
      <c r="A11" s="8">
        <f t="shared" ca="1" si="0"/>
        <v>68.008762365693784</v>
      </c>
      <c r="C11" s="8">
        <f t="shared" ca="1" si="1"/>
        <v>175.15702073658258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E567-7DE9-451A-B54C-FE73661F2C31}">
  <dimension ref="A1:A10"/>
  <sheetViews>
    <sheetView workbookViewId="0">
      <selection activeCell="R7" sqref="R7"/>
    </sheetView>
  </sheetViews>
  <sheetFormatPr defaultRowHeight="14.4" x14ac:dyDescent="0.3"/>
  <sheetData>
    <row r="1" spans="1:1" x14ac:dyDescent="0.3">
      <c r="A1">
        <f ca="1" xml:space="preserve"> _xlfn.BINOM.INV(1, 0.4, RAND())</f>
        <v>0</v>
      </c>
    </row>
    <row r="2" spans="1:1" x14ac:dyDescent="0.3">
      <c r="A2">
        <f t="shared" ref="A2:A10" ca="1" si="0" xml:space="preserve"> _xlfn.BINOM.INV(1, 0.4, RAND())</f>
        <v>0</v>
      </c>
    </row>
    <row r="3" spans="1:1" x14ac:dyDescent="0.3">
      <c r="A3">
        <f t="shared" ca="1" si="0"/>
        <v>0</v>
      </c>
    </row>
    <row r="4" spans="1:1" x14ac:dyDescent="0.3">
      <c r="A4">
        <f t="shared" ca="1" si="0"/>
        <v>1</v>
      </c>
    </row>
    <row r="5" spans="1:1" x14ac:dyDescent="0.3">
      <c r="A5">
        <f t="shared" ca="1" si="0"/>
        <v>0</v>
      </c>
    </row>
    <row r="6" spans="1:1" x14ac:dyDescent="0.3">
      <c r="A6">
        <f t="shared" ca="1" si="0"/>
        <v>1</v>
      </c>
    </row>
    <row r="7" spans="1:1" x14ac:dyDescent="0.3">
      <c r="A7">
        <f t="shared" ca="1" si="0"/>
        <v>0</v>
      </c>
    </row>
    <row r="8" spans="1:1" x14ac:dyDescent="0.3">
      <c r="A8">
        <f t="shared" ca="1" si="0"/>
        <v>0</v>
      </c>
    </row>
    <row r="9" spans="1:1" x14ac:dyDescent="0.3">
      <c r="A9">
        <f t="shared" ca="1" si="0"/>
        <v>1</v>
      </c>
    </row>
    <row r="10" spans="1:1" x14ac:dyDescent="0.3">
      <c r="A10">
        <f t="shared" ca="1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B7A8-0417-4671-A726-21DF21BBF5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1(1)</vt:lpstr>
      <vt:lpstr>1(2)</vt:lpstr>
      <vt:lpstr>1(3)</vt:lpstr>
      <vt:lpstr>2</vt:lpstr>
      <vt:lpstr>3</vt:lpstr>
      <vt:lpstr>4</vt:lpstr>
      <vt:lpstr>5</vt:lpstr>
      <vt:lpstr>6</vt:lpstr>
      <vt:lpstr>7</vt:lpstr>
      <vt:lpstr>13</vt:lpstr>
      <vt:lpstr>Sheet11</vt:lpstr>
      <vt:lpstr>16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Mishra</dc:creator>
  <cp:lastModifiedBy>Abhimanyu Mishra</cp:lastModifiedBy>
  <dcterms:created xsi:type="dcterms:W3CDTF">2025-04-16T15:31:48Z</dcterms:created>
  <dcterms:modified xsi:type="dcterms:W3CDTF">2025-05-27T12:58:12Z</dcterms:modified>
</cp:coreProperties>
</file>